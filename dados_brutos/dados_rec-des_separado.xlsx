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6B7C9513-5BD3-4320-837C-AE2E385AF4A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Betim-MG (Micro 1)" sheetId="1" r:id="rId1"/>
    <sheet name="Gov. Valadares-MG (Micro 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  <c r="H11" i="1"/>
  <c r="H10" i="1"/>
  <c r="H9" i="1"/>
  <c r="H8" i="1"/>
  <c r="H7" i="1"/>
  <c r="H6" i="1"/>
  <c r="H5" i="1"/>
  <c r="H4" i="1"/>
  <c r="H3" i="1"/>
  <c r="H2" i="1"/>
  <c r="L2" i="2" l="1"/>
  <c r="K2" i="2"/>
  <c r="J2" i="2"/>
  <c r="I2" i="2"/>
  <c r="L3" i="2"/>
  <c r="K3" i="2"/>
  <c r="J3" i="2"/>
  <c r="I3" i="2"/>
  <c r="L4" i="2"/>
  <c r="K4" i="2"/>
  <c r="J4" i="2"/>
  <c r="I4" i="2"/>
  <c r="L5" i="2"/>
  <c r="K5" i="2"/>
  <c r="J5" i="2"/>
  <c r="I5" i="2"/>
  <c r="L6" i="2"/>
  <c r="K6" i="2"/>
  <c r="J6" i="2"/>
  <c r="I6" i="2"/>
  <c r="L7" i="2"/>
  <c r="K7" i="2"/>
  <c r="J7" i="2"/>
  <c r="I7" i="2"/>
  <c r="L8" i="2"/>
  <c r="K8" i="2"/>
  <c r="J8" i="2"/>
  <c r="I8" i="2"/>
  <c r="L9" i="2"/>
  <c r="K9" i="2"/>
  <c r="J9" i="2"/>
  <c r="I9" i="2"/>
  <c r="L10" i="2"/>
  <c r="K10" i="2"/>
  <c r="J10" i="2"/>
  <c r="I10" i="2"/>
  <c r="L11" i="2"/>
  <c r="K11" i="2"/>
  <c r="J11" i="2"/>
  <c r="I11" i="2"/>
  <c r="L2" i="1"/>
  <c r="K2" i="1"/>
  <c r="J2" i="1"/>
  <c r="I2" i="1"/>
  <c r="L3" i="1"/>
  <c r="K3" i="1"/>
  <c r="J3" i="1"/>
  <c r="I3" i="1"/>
  <c r="L4" i="1"/>
  <c r="K4" i="1"/>
  <c r="J4" i="1"/>
  <c r="I4" i="1"/>
  <c r="L5" i="1"/>
  <c r="K5" i="1"/>
  <c r="J5" i="1"/>
  <c r="I5" i="1"/>
  <c r="L6" i="1"/>
  <c r="K6" i="1"/>
  <c r="J6" i="1"/>
  <c r="I6" i="1"/>
  <c r="L7" i="1"/>
  <c r="K7" i="1"/>
  <c r="J7" i="1"/>
  <c r="I7" i="1"/>
  <c r="L8" i="1"/>
  <c r="K8" i="1"/>
  <c r="J8" i="1"/>
  <c r="I8" i="1"/>
  <c r="L9" i="1"/>
  <c r="K9" i="1"/>
  <c r="J9" i="1"/>
  <c r="I9" i="1"/>
  <c r="L10" i="1"/>
  <c r="K10" i="1"/>
  <c r="J10" i="1"/>
  <c r="I10" i="1"/>
  <c r="L11" i="1"/>
  <c r="K11" i="1"/>
  <c r="J11" i="1"/>
  <c r="I11" i="1"/>
</calcChain>
</file>

<file path=xl/sharedStrings.xml><?xml version="1.0" encoding="utf-8"?>
<sst xmlns="http://schemas.openxmlformats.org/spreadsheetml/2006/main" count="24" uniqueCount="14">
  <si>
    <t>Ano</t>
  </si>
  <si>
    <t>População</t>
  </si>
  <si>
    <t xml:space="preserve">IPCA </t>
  </si>
  <si>
    <t>Receita Total Nominal (R$)</t>
  </si>
  <si>
    <t>Receita Tributária Nominal</t>
  </si>
  <si>
    <t>Transferências Correntes Nominal</t>
  </si>
  <si>
    <t>Despesa Total Nominal (R$)</t>
  </si>
  <si>
    <t>Fator de Deflação</t>
  </si>
  <si>
    <t>Receita Total Real (R$)</t>
  </si>
  <si>
    <t>Despesa Total Real (R$)</t>
  </si>
  <si>
    <t xml:space="preserve">Receita Tributária Real </t>
  </si>
  <si>
    <t>Transferências Correntes Real</t>
  </si>
  <si>
    <t>Receita Tributária</t>
  </si>
  <si>
    <t>Transferências Correntes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</si>
</sst>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workbookViewId="0">
      <selection activeCell="J5" sqref="J5"/>
    </sheetView>
  </sheetViews>
  <sheetFormatPr defaultRowHeight="15"/>
  <cols>
    <col min="1" max="1" width="5.42578125" bestFit="1" customWidth="1"/>
    <col min="2" max="2" width="10.42578125" bestFit="1" customWidth="1"/>
    <col min="3" max="3" width="8.7109375" bestFit="1" customWidth="1"/>
    <col min="4" max="5" width="25.28515625" bestFit="1" customWidth="1"/>
    <col min="6" max="6" width="31.7109375" bestFit="1" customWidth="1"/>
    <col min="7" max="7" width="26.28515625" bestFit="1" customWidth="1"/>
    <col min="8" max="8" width="16.85546875" bestFit="1" customWidth="1"/>
    <col min="9" max="9" width="21.7109375" bestFit="1" customWidth="1"/>
    <col min="10" max="10" width="22.42578125" bestFit="1" customWidth="1"/>
    <col min="11" max="11" width="22" bestFit="1" customWidth="1"/>
    <col min="12" max="12" width="27.855468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2014</v>
      </c>
      <c r="B2" s="3">
        <v>412003</v>
      </c>
      <c r="C2" s="4">
        <v>4059.86</v>
      </c>
      <c r="D2" s="4">
        <v>1608030220.6500001</v>
      </c>
      <c r="E2" s="4">
        <v>196658370.24000001</v>
      </c>
      <c r="F2" s="4">
        <v>1171561219.3299999</v>
      </c>
      <c r="G2" s="4">
        <v>1302413809.52</v>
      </c>
      <c r="H2" s="5">
        <f>$C$11/C2</f>
        <v>1.6683506327804407</v>
      </c>
      <c r="I2" s="4">
        <f>D2*H2</f>
        <v>2682758236.1514993</v>
      </c>
      <c r="J2" s="4">
        <f>G2*H2</f>
        <v>2172882903.2546763</v>
      </c>
      <c r="K2" s="4">
        <f>E2*H2</f>
        <v>328095116.43147421</v>
      </c>
      <c r="L2" s="4">
        <f>F2*H2</f>
        <v>1954574901.61023</v>
      </c>
    </row>
    <row r="3" spans="1:12">
      <c r="A3">
        <v>2015</v>
      </c>
      <c r="B3" s="3">
        <v>412003</v>
      </c>
      <c r="C3" s="4">
        <v>4493.17</v>
      </c>
      <c r="D3" s="4">
        <v>1570000000</v>
      </c>
      <c r="E3" s="4">
        <v>191000000</v>
      </c>
      <c r="F3" s="4">
        <v>1140000000</v>
      </c>
      <c r="G3" s="4">
        <v>1308832859.3499999</v>
      </c>
      <c r="H3" s="5">
        <f t="shared" ref="H3:H11" si="0">$C$11/C3</f>
        <v>1.5074590990325316</v>
      </c>
      <c r="I3" s="4">
        <f t="shared" ref="I3:I11" si="1">D3*H3</f>
        <v>2366710785.4810748</v>
      </c>
      <c r="J3" s="4">
        <f t="shared" ref="J3:J12" si="2">G3*H3</f>
        <v>1973012002.939923</v>
      </c>
      <c r="K3" s="4">
        <f t="shared" ref="K3:K11" si="3">E3*H3</f>
        <v>287924687.91521353</v>
      </c>
      <c r="L3" s="4">
        <f t="shared" ref="L3:L11" si="4">F3*H3</f>
        <v>1718503372.8970861</v>
      </c>
    </row>
    <row r="4" spans="1:12">
      <c r="A4">
        <v>2016</v>
      </c>
      <c r="B4" s="3">
        <v>417307</v>
      </c>
      <c r="C4" s="4">
        <v>4775.7</v>
      </c>
      <c r="D4" s="4">
        <v>1780000000</v>
      </c>
      <c r="E4" s="4">
        <v>180000000</v>
      </c>
      <c r="F4" s="4">
        <v>1230000000</v>
      </c>
      <c r="G4" s="4">
        <v>1393353773.3</v>
      </c>
      <c r="H4" s="5">
        <f t="shared" si="0"/>
        <v>1.4182779487823776</v>
      </c>
      <c r="I4" s="4">
        <f t="shared" si="1"/>
        <v>2524534748.8326321</v>
      </c>
      <c r="J4" s="4">
        <f t="shared" si="2"/>
        <v>1976162931.5241098</v>
      </c>
      <c r="K4" s="4">
        <f t="shared" si="3"/>
        <v>255290030.78082797</v>
      </c>
      <c r="L4" s="4">
        <f t="shared" si="4"/>
        <v>1744481877.0023243</v>
      </c>
    </row>
    <row r="5" spans="1:12">
      <c r="A5">
        <v>2017</v>
      </c>
      <c r="B5" s="3">
        <v>422354</v>
      </c>
      <c r="C5" s="4">
        <v>4916.46</v>
      </c>
      <c r="D5" s="4">
        <v>1780000000</v>
      </c>
      <c r="E5" s="4">
        <v>213000000</v>
      </c>
      <c r="F5" s="4">
        <v>1250000000</v>
      </c>
      <c r="G5" s="4">
        <v>1311537940.04</v>
      </c>
      <c r="H5" s="5">
        <f t="shared" si="0"/>
        <v>1.3776721462190276</v>
      </c>
      <c r="I5" s="4">
        <f t="shared" si="1"/>
        <v>2452256420.2698689</v>
      </c>
      <c r="J5" s="4">
        <f t="shared" si="2"/>
        <v>1806869288.702589</v>
      </c>
      <c r="K5" s="4">
        <f t="shared" si="3"/>
        <v>293444167.14465284</v>
      </c>
      <c r="L5" s="4">
        <f t="shared" si="4"/>
        <v>1722090182.7737844</v>
      </c>
    </row>
    <row r="6" spans="1:12">
      <c r="A6">
        <v>2018</v>
      </c>
      <c r="B6" s="3">
        <v>422354</v>
      </c>
      <c r="C6" s="4">
        <v>5100.6099999999997</v>
      </c>
      <c r="D6" s="4">
        <v>1780000000</v>
      </c>
      <c r="E6" s="4">
        <v>242000000</v>
      </c>
      <c r="F6" s="4">
        <v>1160000000</v>
      </c>
      <c r="G6" s="4">
        <v>1477402214.5</v>
      </c>
      <c r="H6" s="5">
        <f t="shared" si="0"/>
        <v>1.3279333256218375</v>
      </c>
      <c r="I6" s="4">
        <f t="shared" si="1"/>
        <v>2363721319.6068707</v>
      </c>
      <c r="J6" s="4">
        <f t="shared" si="2"/>
        <v>1961891635.9820523</v>
      </c>
      <c r="K6" s="4">
        <f t="shared" si="3"/>
        <v>321359864.80048466</v>
      </c>
      <c r="L6" s="4">
        <f t="shared" si="4"/>
        <v>1540402657.7213316</v>
      </c>
    </row>
    <row r="7" spans="1:12">
      <c r="A7">
        <v>2019</v>
      </c>
      <c r="B7" s="3">
        <v>432575</v>
      </c>
      <c r="C7" s="4">
        <v>5320.25</v>
      </c>
      <c r="D7" s="4">
        <v>1990831542.55</v>
      </c>
      <c r="E7" s="4">
        <v>250432210.47999999</v>
      </c>
      <c r="F7" s="4">
        <v>1308374115.6199999</v>
      </c>
      <c r="G7" s="4">
        <v>1579609741.8</v>
      </c>
      <c r="H7" s="5">
        <f t="shared" si="0"/>
        <v>1.2731112259762229</v>
      </c>
      <c r="I7" s="4">
        <f t="shared" si="1"/>
        <v>2534549985.8479657</v>
      </c>
      <c r="J7" s="4">
        <f t="shared" si="2"/>
        <v>2011018894.9469829</v>
      </c>
      <c r="K7" s="4">
        <f t="shared" si="3"/>
        <v>318828058.50812829</v>
      </c>
      <c r="L7" s="4">
        <f t="shared" si="4"/>
        <v>1665705774.3725345</v>
      </c>
    </row>
    <row r="8" spans="1:12">
      <c r="A8">
        <v>2020</v>
      </c>
      <c r="B8" s="3">
        <v>439340</v>
      </c>
      <c r="C8" s="4">
        <v>5560.59</v>
      </c>
      <c r="D8" s="4">
        <v>2369478082.0999999</v>
      </c>
      <c r="E8" s="4">
        <v>268462231.02999997</v>
      </c>
      <c r="F8" s="4">
        <v>1606921696.1500001</v>
      </c>
      <c r="G8" s="4">
        <v>1790222832.3699999</v>
      </c>
      <c r="H8" s="5">
        <f t="shared" si="0"/>
        <v>1.2180847715799943</v>
      </c>
      <c r="I8" s="4">
        <f t="shared" si="1"/>
        <v>2886225168.3985815</v>
      </c>
      <c r="J8" s="4">
        <f t="shared" si="2"/>
        <v>2180643169.8447018</v>
      </c>
      <c r="K8" s="4">
        <f t="shared" si="3"/>
        <v>327009755.36203319</v>
      </c>
      <c r="L8" s="4">
        <f t="shared" si="4"/>
        <v>1957366847.2018099</v>
      </c>
    </row>
    <row r="9" spans="1:12">
      <c r="A9">
        <v>2021</v>
      </c>
      <c r="B9" s="3">
        <v>444784</v>
      </c>
      <c r="C9" s="4">
        <v>6120.04</v>
      </c>
      <c r="D9" s="4">
        <v>2669443140.79</v>
      </c>
      <c r="E9" s="4">
        <v>329415557.62</v>
      </c>
      <c r="F9" s="4">
        <v>1842251910.01</v>
      </c>
      <c r="G9" s="4">
        <v>1943330452.02</v>
      </c>
      <c r="H9" s="5">
        <f t="shared" si="0"/>
        <v>1.1067362304821537</v>
      </c>
      <c r="I9" s="4">
        <f t="shared" si="1"/>
        <v>2954369439.1243658</v>
      </c>
      <c r="J9" s="4">
        <f t="shared" si="2"/>
        <v>2150754219.0497947</v>
      </c>
      <c r="K9" s="4">
        <f t="shared" si="3"/>
        <v>364576132.50253552</v>
      </c>
      <c r="L9" s="4">
        <f t="shared" si="4"/>
        <v>2038886934.4830153</v>
      </c>
    </row>
    <row r="10" spans="1:12">
      <c r="A10">
        <v>2022</v>
      </c>
      <c r="B10" s="3">
        <v>450024</v>
      </c>
      <c r="C10" s="4">
        <v>6474.09</v>
      </c>
      <c r="D10" s="4">
        <v>2864681686.3499999</v>
      </c>
      <c r="E10" s="4">
        <v>384799572.38</v>
      </c>
      <c r="F10" s="4">
        <v>1848414738.6900001</v>
      </c>
      <c r="G10" s="4">
        <v>2229978284.04</v>
      </c>
      <c r="H10" s="5">
        <f t="shared" si="0"/>
        <v>1.0462119000508181</v>
      </c>
      <c r="I10" s="4">
        <f t="shared" si="1"/>
        <v>2997064070.1170154</v>
      </c>
      <c r="J10" s="4">
        <f t="shared" si="2"/>
        <v>2333029817.6175513</v>
      </c>
      <c r="K10" s="4">
        <f t="shared" si="3"/>
        <v>402581891.75842208</v>
      </c>
      <c r="L10" s="4">
        <f t="shared" si="4"/>
        <v>1933833495.8468013</v>
      </c>
    </row>
    <row r="11" spans="1:12">
      <c r="A11">
        <v>2023</v>
      </c>
      <c r="B11" s="3">
        <v>450024</v>
      </c>
      <c r="C11" s="4">
        <v>6773.27</v>
      </c>
      <c r="D11" s="4">
        <v>2952757996.2600002</v>
      </c>
      <c r="E11" s="4">
        <v>438018943.73000002</v>
      </c>
      <c r="F11" s="4">
        <v>1824968011.23</v>
      </c>
      <c r="G11" s="4">
        <v>2563906912.4499998</v>
      </c>
      <c r="H11" s="5">
        <f t="shared" si="0"/>
        <v>1</v>
      </c>
      <c r="I11" s="4">
        <f t="shared" si="1"/>
        <v>2952757996.2600002</v>
      </c>
      <c r="J11" s="4">
        <f t="shared" si="2"/>
        <v>2563906912.4499998</v>
      </c>
      <c r="K11" s="4">
        <f t="shared" si="3"/>
        <v>438018943.73000002</v>
      </c>
      <c r="L11" s="4">
        <f t="shared" si="4"/>
        <v>1824968011.23</v>
      </c>
    </row>
    <row r="12" spans="1:12">
      <c r="B12" s="3"/>
      <c r="C12" s="4"/>
      <c r="D12" s="4"/>
      <c r="E12" s="4"/>
      <c r="F12" s="4"/>
      <c r="I12" s="4"/>
      <c r="J12" s="4"/>
    </row>
    <row r="13" spans="1:12">
      <c r="B13" s="3"/>
      <c r="C13" s="4"/>
    </row>
    <row r="14" spans="1:12">
      <c r="B14" s="3"/>
      <c r="C14" s="4"/>
    </row>
    <row r="15" spans="1:12">
      <c r="C15" s="4"/>
    </row>
    <row r="16" spans="1:12">
      <c r="B16" s="3"/>
      <c r="C16" s="4"/>
    </row>
    <row r="17" spans="1:10">
      <c r="B17" s="3"/>
      <c r="C17" s="4"/>
    </row>
    <row r="18" spans="1:10">
      <c r="B18" s="3"/>
      <c r="C18" s="4"/>
    </row>
    <row r="19" spans="1:10">
      <c r="C19" s="4"/>
    </row>
    <row r="20" spans="1:10">
      <c r="A20" s="6"/>
      <c r="B20" s="7"/>
      <c r="C20" s="7"/>
      <c r="D20" s="7"/>
      <c r="E20" s="8"/>
      <c r="G20" s="9"/>
      <c r="H20" s="10"/>
      <c r="I20" s="10"/>
      <c r="J20" s="11"/>
    </row>
    <row r="21" spans="1:10">
      <c r="A21" s="12"/>
      <c r="C21" s="4"/>
      <c r="E21" s="13"/>
      <c r="G21" s="14"/>
      <c r="H21" s="2"/>
      <c r="I21" s="2"/>
      <c r="J21" s="15"/>
    </row>
    <row r="22" spans="1:10">
      <c r="A22" s="12"/>
      <c r="C22" s="4"/>
      <c r="E22" s="13"/>
      <c r="G22" s="14"/>
      <c r="H22" s="2"/>
      <c r="I22" s="2"/>
      <c r="J22" s="15"/>
    </row>
    <row r="23" spans="1:10">
      <c r="A23" s="12"/>
      <c r="E23" s="13"/>
      <c r="G23" s="14"/>
      <c r="H23" s="2"/>
      <c r="I23" s="2"/>
      <c r="J23" s="15"/>
    </row>
    <row r="24" spans="1:10">
      <c r="A24" s="12"/>
      <c r="E24" s="13"/>
      <c r="G24" s="14"/>
      <c r="H24" s="2"/>
      <c r="I24" s="2"/>
      <c r="J24" s="15"/>
    </row>
    <row r="25" spans="1:10">
      <c r="A25" s="12"/>
      <c r="E25" s="13"/>
      <c r="G25" s="14"/>
      <c r="H25" s="2"/>
      <c r="I25" s="2"/>
      <c r="J25" s="15"/>
    </row>
    <row r="26" spans="1:10">
      <c r="A26" s="12"/>
      <c r="E26" s="13"/>
      <c r="G26" s="14"/>
      <c r="H26" s="2"/>
      <c r="I26" s="2"/>
      <c r="J26" s="15"/>
    </row>
    <row r="27" spans="1:10">
      <c r="A27" s="12"/>
      <c r="E27" s="13"/>
      <c r="G27" s="14"/>
      <c r="H27" s="2"/>
      <c r="I27" s="2"/>
      <c r="J27" s="15"/>
    </row>
    <row r="28" spans="1:10">
      <c r="A28" s="12"/>
      <c r="E28" s="13"/>
      <c r="G28" s="14"/>
      <c r="H28" s="2"/>
      <c r="I28" s="2"/>
      <c r="J28" s="15"/>
    </row>
    <row r="29" spans="1:10">
      <c r="A29" s="12"/>
      <c r="E29" s="13"/>
      <c r="G29" s="14"/>
      <c r="H29" s="2"/>
      <c r="I29" s="2"/>
      <c r="J29" s="15"/>
    </row>
    <row r="30" spans="1:10">
      <c r="A30" s="12"/>
      <c r="E30" s="13"/>
      <c r="G30" s="14"/>
      <c r="H30" s="2"/>
      <c r="I30" s="2"/>
      <c r="J30" s="15"/>
    </row>
    <row r="31" spans="1:10">
      <c r="A31" s="12"/>
      <c r="E31" s="13"/>
      <c r="G31" s="14"/>
      <c r="H31" s="2"/>
      <c r="I31" s="2"/>
      <c r="J31" s="15"/>
    </row>
    <row r="32" spans="1:10">
      <c r="A32" s="12"/>
      <c r="E32" s="13"/>
      <c r="G32" s="14"/>
      <c r="H32" s="2"/>
      <c r="I32" s="2"/>
      <c r="J32" s="15"/>
    </row>
    <row r="33" spans="1:10">
      <c r="A33" s="12"/>
      <c r="E33" s="13"/>
      <c r="G33" s="14"/>
      <c r="H33" s="2"/>
      <c r="I33" s="2"/>
      <c r="J33" s="15"/>
    </row>
    <row r="34" spans="1:10">
      <c r="A34" s="12"/>
      <c r="E34" s="13"/>
      <c r="G34" s="14"/>
      <c r="H34" s="2"/>
      <c r="I34" s="2"/>
      <c r="J34" s="15"/>
    </row>
    <row r="35" spans="1:10">
      <c r="A35" s="12"/>
      <c r="E35" s="13"/>
      <c r="G35" s="14"/>
      <c r="H35" s="2"/>
      <c r="I35" s="2"/>
      <c r="J35" s="15"/>
    </row>
    <row r="36" spans="1:10">
      <c r="A36" s="12"/>
      <c r="E36" s="13"/>
      <c r="G36" s="16"/>
      <c r="H36" s="17"/>
      <c r="I36" s="17"/>
      <c r="J36" s="18"/>
    </row>
    <row r="37" spans="1:10">
      <c r="A37" s="19"/>
      <c r="B37" s="20"/>
      <c r="C37" s="20"/>
      <c r="D37" s="20"/>
      <c r="E37" s="21"/>
    </row>
  </sheetData>
  <mergeCells count="2">
    <mergeCell ref="A20:E20"/>
    <mergeCell ref="G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6F26-B881-41D9-9A97-A24928ABED16}">
  <dimension ref="A1:L35"/>
  <sheetViews>
    <sheetView tabSelected="1" workbookViewId="0">
      <selection activeCell="G20" activeCellId="1" sqref="A20:E20 G20:J20"/>
    </sheetView>
  </sheetViews>
  <sheetFormatPr defaultRowHeight="15"/>
  <cols>
    <col min="1" max="1" width="5.42578125" bestFit="1" customWidth="1"/>
    <col min="2" max="2" width="10.42578125" bestFit="1" customWidth="1"/>
    <col min="3" max="3" width="8.7109375" bestFit="1" customWidth="1"/>
    <col min="4" max="4" width="25.28515625" bestFit="1" customWidth="1"/>
    <col min="5" max="5" width="17" bestFit="1" customWidth="1"/>
    <col min="6" max="6" width="23.42578125" bestFit="1" customWidth="1"/>
    <col min="7" max="7" width="26.28515625" bestFit="1" customWidth="1"/>
    <col min="8" max="8" width="16.85546875" bestFit="1" customWidth="1"/>
    <col min="9" max="9" width="21.7109375" bestFit="1" customWidth="1"/>
    <col min="10" max="10" width="22.42578125" bestFit="1" customWidth="1"/>
    <col min="11" max="11" width="22" bestFit="1" customWidth="1"/>
    <col min="12" max="12" width="27.855468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2014</v>
      </c>
      <c r="B2" s="3">
        <v>276995</v>
      </c>
      <c r="C2" s="4">
        <v>4059.86</v>
      </c>
      <c r="D2" s="4">
        <v>710327301.38999999</v>
      </c>
      <c r="E2" s="4">
        <v>100692464.79000001</v>
      </c>
      <c r="F2" s="4">
        <v>373263937.95999998</v>
      </c>
      <c r="G2" s="4">
        <v>671828796.32000005</v>
      </c>
      <c r="H2" s="5">
        <f>$C$11/C2</f>
        <v>1.6683506327804407</v>
      </c>
      <c r="I2" s="4">
        <f>D2*H2</f>
        <v>1185075002.7552292</v>
      </c>
      <c r="J2" s="4">
        <f>G2*H2</f>
        <v>1120845997.4605939</v>
      </c>
      <c r="K2" s="4">
        <f>E2*H2</f>
        <v>167990337.34861875</v>
      </c>
      <c r="L2" s="4">
        <f>F2*H2</f>
        <v>622735127.08968508</v>
      </c>
    </row>
    <row r="3" spans="1:12">
      <c r="A3">
        <v>2015</v>
      </c>
      <c r="B3" s="3">
        <v>276995</v>
      </c>
      <c r="C3" s="4">
        <v>4493.17</v>
      </c>
      <c r="D3" s="4">
        <v>743000000</v>
      </c>
      <c r="E3" s="4">
        <v>110000000</v>
      </c>
      <c r="F3" s="4">
        <v>404000000</v>
      </c>
      <c r="G3" s="4">
        <v>727007000.19000006</v>
      </c>
      <c r="H3" s="5">
        <f t="shared" ref="H3:H11" si="0">$C$11/C3</f>
        <v>1.5074590990325316</v>
      </c>
      <c r="I3" s="4">
        <f>D3*H3</f>
        <v>1120042110.581171</v>
      </c>
      <c r="J3" s="4">
        <f>G3*H3</f>
        <v>1095933317.4967611</v>
      </c>
      <c r="K3" s="4">
        <f t="shared" ref="K3:K11" si="1">E3*H3</f>
        <v>165820500.89357847</v>
      </c>
      <c r="L3" s="4">
        <f t="shared" ref="L3:L11" si="2">F3*H3</f>
        <v>609013476.00914276</v>
      </c>
    </row>
    <row r="4" spans="1:12">
      <c r="A4">
        <v>2016</v>
      </c>
      <c r="B4" s="3">
        <v>278363</v>
      </c>
      <c r="C4" s="4">
        <v>4775.7</v>
      </c>
      <c r="D4" s="4">
        <v>772000000</v>
      </c>
      <c r="E4" s="4">
        <v>115000000</v>
      </c>
      <c r="F4" s="4">
        <v>429000000</v>
      </c>
      <c r="G4" s="4">
        <v>732963068.20000005</v>
      </c>
      <c r="H4" s="5">
        <f t="shared" si="0"/>
        <v>1.4182779487823776</v>
      </c>
      <c r="I4" s="4">
        <f>D4*H4</f>
        <v>1094910576.4599955</v>
      </c>
      <c r="J4" s="4">
        <f>G4*H4</f>
        <v>1039545356.8999339</v>
      </c>
      <c r="K4" s="4">
        <f t="shared" si="1"/>
        <v>163101964.10997343</v>
      </c>
      <c r="L4" s="4">
        <f t="shared" si="2"/>
        <v>608441240.02763999</v>
      </c>
    </row>
    <row r="5" spans="1:12">
      <c r="A5">
        <v>2017</v>
      </c>
      <c r="B5" s="3">
        <v>279665</v>
      </c>
      <c r="C5" s="4">
        <v>4916.46</v>
      </c>
      <c r="D5" s="4">
        <v>814000000</v>
      </c>
      <c r="E5" s="4">
        <v>127000000</v>
      </c>
      <c r="F5" s="4">
        <v>429000000</v>
      </c>
      <c r="G5" s="4">
        <v>759413034.67999995</v>
      </c>
      <c r="H5" s="5">
        <f t="shared" si="0"/>
        <v>1.3776721462190276</v>
      </c>
      <c r="I5" s="4">
        <f>D5*H5</f>
        <v>1121425127.0222883</v>
      </c>
      <c r="J5" s="4">
        <f>G5*H5</f>
        <v>1046222185.3543004</v>
      </c>
      <c r="K5" s="4">
        <f t="shared" si="1"/>
        <v>174964362.5698165</v>
      </c>
      <c r="L5" s="4">
        <f t="shared" si="2"/>
        <v>591021350.72796285</v>
      </c>
    </row>
    <row r="6" spans="1:12">
      <c r="A6">
        <v>2018</v>
      </c>
      <c r="B6" s="3">
        <v>279665</v>
      </c>
      <c r="C6" s="4">
        <v>5100.6099999999997</v>
      </c>
      <c r="D6" s="4">
        <v>824000000</v>
      </c>
      <c r="E6" s="4">
        <v>161000000</v>
      </c>
      <c r="F6" s="4">
        <v>425000000</v>
      </c>
      <c r="G6" s="4">
        <v>838267941.97000003</v>
      </c>
      <c r="H6" s="5">
        <f t="shared" si="0"/>
        <v>1.3279333256218375</v>
      </c>
      <c r="I6" s="4">
        <f>D6*H6</f>
        <v>1094217060.3123941</v>
      </c>
      <c r="J6" s="4">
        <f>G6*H6</f>
        <v>1113163935.9423957</v>
      </c>
      <c r="K6" s="4">
        <f t="shared" si="1"/>
        <v>213797265.42511585</v>
      </c>
      <c r="L6" s="4">
        <f t="shared" si="2"/>
        <v>564371663.38928092</v>
      </c>
    </row>
    <row r="7" spans="1:12">
      <c r="A7">
        <v>2019</v>
      </c>
      <c r="B7" s="3">
        <v>278685</v>
      </c>
      <c r="C7" s="4">
        <v>5320.25</v>
      </c>
      <c r="D7" s="4">
        <v>931296028.39999998</v>
      </c>
      <c r="E7" s="4">
        <v>186274020.13</v>
      </c>
      <c r="F7" s="4">
        <v>492724656.69999999</v>
      </c>
      <c r="G7" s="4">
        <v>931177855.74000001</v>
      </c>
      <c r="H7" s="5">
        <f t="shared" si="0"/>
        <v>1.2731112259762229</v>
      </c>
      <c r="I7" s="4">
        <f>D7*H7</f>
        <v>1185643428.4631114</v>
      </c>
      <c r="J7" s="4">
        <f>G7*H7</f>
        <v>1185492981.523062</v>
      </c>
      <c r="K7" s="4">
        <f t="shared" si="1"/>
        <v>237147546.13522393</v>
      </c>
      <c r="L7" s="4">
        <f t="shared" si="2"/>
        <v>627293291.76005054</v>
      </c>
    </row>
    <row r="8" spans="1:12">
      <c r="A8">
        <v>2020</v>
      </c>
      <c r="B8" s="3">
        <v>279885</v>
      </c>
      <c r="C8" s="4">
        <v>5560.59</v>
      </c>
      <c r="D8" s="4">
        <v>1108011257.28</v>
      </c>
      <c r="E8" s="4">
        <v>199038321.62</v>
      </c>
      <c r="F8" s="4">
        <v>641477707.79999995</v>
      </c>
      <c r="G8" s="4">
        <v>1037491950.46</v>
      </c>
      <c r="H8" s="5">
        <f t="shared" si="0"/>
        <v>1.2180847715799943</v>
      </c>
      <c r="I8" s="4">
        <f>D8*H8</f>
        <v>1349651639.231971</v>
      </c>
      <c r="J8" s="4">
        <f>G8*H8</f>
        <v>1263753145.492152</v>
      </c>
      <c r="K8" s="4">
        <f t="shared" si="1"/>
        <v>242445548.52616313</v>
      </c>
      <c r="L8" s="4">
        <f t="shared" si="2"/>
        <v>781374227.17922127</v>
      </c>
    </row>
    <row r="9" spans="1:12">
      <c r="A9">
        <v>2021</v>
      </c>
      <c r="B9" s="3">
        <v>281046</v>
      </c>
      <c r="C9" s="4">
        <v>6120.04</v>
      </c>
      <c r="D9" s="4">
        <v>1251484593.0799999</v>
      </c>
      <c r="E9" s="4">
        <v>235815432.96000001</v>
      </c>
      <c r="F9" s="4">
        <v>700724459.78999996</v>
      </c>
      <c r="G9" s="4">
        <v>1153807933.22</v>
      </c>
      <c r="H9" s="5">
        <f t="shared" si="0"/>
        <v>1.1067362304821537</v>
      </c>
      <c r="I9" s="4">
        <f>D9*H9</f>
        <v>1385063341.0518513</v>
      </c>
      <c r="J9" s="4">
        <f>G9*H9</f>
        <v>1276961042.7123075</v>
      </c>
      <c r="K9" s="4">
        <f t="shared" si="1"/>
        <v>260985483.36366746</v>
      </c>
      <c r="L9" s="4">
        <f t="shared" si="2"/>
        <v>775517147.23462808</v>
      </c>
    </row>
    <row r="10" spans="1:12">
      <c r="A10">
        <v>2022</v>
      </c>
      <c r="B10" s="3">
        <v>282164</v>
      </c>
      <c r="C10" s="4">
        <v>6474.09</v>
      </c>
      <c r="D10" s="4">
        <v>1436931777.8699999</v>
      </c>
      <c r="E10" s="4">
        <v>272817359.80000001</v>
      </c>
      <c r="F10" s="4">
        <v>775406395.57000005</v>
      </c>
      <c r="G10" s="4">
        <v>1453351432.3800001</v>
      </c>
      <c r="H10" s="5">
        <f t="shared" si="0"/>
        <v>1.0462119000508181</v>
      </c>
      <c r="I10" s="4">
        <f>D10*H10</f>
        <v>1503335125.5687728</v>
      </c>
      <c r="J10" s="4">
        <f>G10*H10</f>
        <v>1520513563.511858</v>
      </c>
      <c r="K10" s="4">
        <f t="shared" si="1"/>
        <v>285424768.36320567</v>
      </c>
      <c r="L10" s="4">
        <f t="shared" si="2"/>
        <v>811239398.42084599</v>
      </c>
    </row>
    <row r="11" spans="1:12">
      <c r="A11">
        <v>2023</v>
      </c>
      <c r="B11" s="3">
        <v>282164</v>
      </c>
      <c r="C11" s="4">
        <v>6773.27</v>
      </c>
      <c r="D11" s="4">
        <v>1547441182.0999999</v>
      </c>
      <c r="E11" s="4">
        <v>307525582.48000002</v>
      </c>
      <c r="F11" s="4">
        <v>840670485.24000001</v>
      </c>
      <c r="G11" s="4">
        <v>1612163303.28</v>
      </c>
      <c r="H11" s="5">
        <f t="shared" si="0"/>
        <v>1</v>
      </c>
      <c r="I11" s="4">
        <f>D11*H11</f>
        <v>1547441182.0999999</v>
      </c>
      <c r="J11" s="4">
        <f>G11*H11</f>
        <v>1612163303.28</v>
      </c>
      <c r="K11" s="4">
        <f t="shared" si="1"/>
        <v>307525582.48000002</v>
      </c>
      <c r="L11" s="4">
        <f t="shared" si="2"/>
        <v>840670485.24000001</v>
      </c>
    </row>
    <row r="12" spans="1:12">
      <c r="B12" s="3"/>
      <c r="C12" s="4"/>
      <c r="D12" s="4"/>
      <c r="E12" s="4"/>
      <c r="F12" s="4"/>
      <c r="I12" s="4"/>
      <c r="J12" s="4"/>
    </row>
    <row r="13" spans="1:12">
      <c r="B13" s="3"/>
      <c r="C13" s="4"/>
      <c r="E13" s="4"/>
    </row>
    <row r="14" spans="1:12">
      <c r="B14" s="3"/>
      <c r="C14" s="4"/>
      <c r="E14" s="4"/>
    </row>
    <row r="15" spans="1:12">
      <c r="B15" s="3"/>
      <c r="C15" s="4"/>
      <c r="E15" s="4"/>
    </row>
    <row r="16" spans="1:12">
      <c r="B16" s="3"/>
      <c r="C16" s="4"/>
      <c r="E16" s="4"/>
    </row>
    <row r="17" spans="1:10">
      <c r="B17" s="3"/>
      <c r="C17" s="4"/>
      <c r="E17" s="4"/>
    </row>
    <row r="18" spans="1:10">
      <c r="B18" s="3"/>
      <c r="C18" s="4"/>
      <c r="E18" s="4"/>
    </row>
    <row r="19" spans="1:10">
      <c r="C19" s="4"/>
      <c r="E19" s="4"/>
    </row>
    <row r="20" spans="1:10">
      <c r="A20" s="6"/>
      <c r="B20" s="7"/>
      <c r="C20" s="7"/>
      <c r="D20" s="7"/>
      <c r="E20" s="8"/>
      <c r="G20" s="9"/>
      <c r="H20" s="10"/>
      <c r="I20" s="10"/>
      <c r="J20" s="11"/>
    </row>
    <row r="21" spans="1:10">
      <c r="A21" s="12"/>
      <c r="C21" s="4"/>
      <c r="E21" s="13"/>
      <c r="G21" s="12"/>
      <c r="J21" s="13"/>
    </row>
    <row r="22" spans="1:10">
      <c r="A22" s="12"/>
      <c r="C22" s="4"/>
      <c r="E22" s="13"/>
      <c r="G22" s="22"/>
      <c r="J22" s="13"/>
    </row>
    <row r="23" spans="1:10">
      <c r="A23" s="12"/>
      <c r="E23" s="13"/>
      <c r="G23" s="12"/>
      <c r="J23" s="13"/>
    </row>
    <row r="24" spans="1:10">
      <c r="A24" s="12"/>
      <c r="E24" s="13"/>
      <c r="G24" s="12"/>
      <c r="J24" s="13"/>
    </row>
    <row r="25" spans="1:10">
      <c r="A25" s="12"/>
      <c r="E25" s="13"/>
      <c r="G25" s="12"/>
      <c r="J25" s="13"/>
    </row>
    <row r="26" spans="1:10">
      <c r="A26" s="12"/>
      <c r="E26" s="13"/>
      <c r="G26" s="12"/>
      <c r="J26" s="13"/>
    </row>
    <row r="27" spans="1:10">
      <c r="A27" s="12"/>
      <c r="E27" s="13"/>
      <c r="G27" s="12"/>
      <c r="J27" s="13"/>
    </row>
    <row r="28" spans="1:10">
      <c r="A28" s="12"/>
      <c r="E28" s="13"/>
      <c r="G28" s="12"/>
      <c r="J28" s="13"/>
    </row>
    <row r="29" spans="1:10">
      <c r="A29" s="12"/>
      <c r="E29" s="13"/>
      <c r="G29" s="12"/>
      <c r="J29" s="13"/>
    </row>
    <row r="30" spans="1:10">
      <c r="A30" s="12"/>
      <c r="E30" s="13"/>
      <c r="G30" s="12"/>
      <c r="J30" s="13"/>
    </row>
    <row r="31" spans="1:10">
      <c r="A31" s="12"/>
      <c r="E31" s="13"/>
      <c r="G31" s="12"/>
      <c r="J31" s="13"/>
    </row>
    <row r="32" spans="1:10">
      <c r="A32" s="12"/>
      <c r="E32" s="13"/>
      <c r="G32" s="12"/>
      <c r="J32" s="13"/>
    </row>
    <row r="33" spans="1:10">
      <c r="A33" s="12"/>
      <c r="E33" s="13"/>
      <c r="G33" s="12"/>
      <c r="J33" s="13"/>
    </row>
    <row r="34" spans="1:10">
      <c r="A34" s="12"/>
      <c r="E34" s="13"/>
      <c r="G34" s="12"/>
      <c r="J34" s="13"/>
    </row>
    <row r="35" spans="1:10">
      <c r="A35" s="19"/>
      <c r="B35" s="20"/>
      <c r="C35" s="20"/>
      <c r="D35" s="20"/>
      <c r="E35" s="21"/>
      <c r="G35" s="19"/>
      <c r="H35" s="20"/>
      <c r="I35" s="20"/>
      <c r="J35" s="21"/>
    </row>
  </sheetData>
  <mergeCells count="2">
    <mergeCell ref="A20:E20"/>
    <mergeCell ref="G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2026-05-06T13:20:40Z</dcterms:created>
  <dcterms:modified xsi:type="dcterms:W3CDTF">2026-05-06T13:22:42Z</dcterms:modified>
  <cp:category/>
  <cp:contentStatus/>
</cp:coreProperties>
</file>