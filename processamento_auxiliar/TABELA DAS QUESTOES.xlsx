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webextensions/webextension1.xml" ContentType="application/vnd.ms-office.webextension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webextensions/webextension2.xml" ContentType="application/vnd.ms-office.webextensi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37F0AAF6-899F-4EEE-ADEA-47AF9875A3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etim-MG (Micro 1)" sheetId="1" r:id="rId1"/>
    <sheet name="Gov. Valadares-MG (Micro 2)" sheetId="2" r:id="rId2"/>
    <sheet name="QUESTÃO 5" sheetId="3" r:id="rId3"/>
    <sheet name="QUESTÃO 6" sheetId="4" r:id="rId4"/>
    <sheet name="QUESTÃO 7 BETIM" sheetId="5" r:id="rId5"/>
    <sheet name="QUESTÃO 7 GOV. VALADARES" sheetId="6" r:id="rId6"/>
    <sheet name="QUESTAO 8" sheetId="7" r:id="rId7"/>
    <sheet name="DASHBOR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2" i="2"/>
  <c r="D3" i="7"/>
  <c r="D2" i="7"/>
  <c r="H3" i="5"/>
  <c r="H4" i="5"/>
  <c r="H5" i="5"/>
  <c r="H6" i="5"/>
  <c r="H7" i="5"/>
  <c r="H8" i="5"/>
  <c r="H9" i="5"/>
  <c r="H10" i="5"/>
  <c r="H11" i="5"/>
  <c r="H2" i="5"/>
  <c r="F2" i="6"/>
  <c r="G2" i="6"/>
  <c r="F11" i="6"/>
  <c r="F10" i="6"/>
  <c r="F9" i="6"/>
  <c r="F8" i="6"/>
  <c r="F7" i="6"/>
  <c r="F6" i="6"/>
  <c r="F5" i="6"/>
  <c r="F4" i="6"/>
  <c r="F3" i="6"/>
  <c r="F11" i="5"/>
  <c r="F10" i="5"/>
  <c r="F9" i="5"/>
  <c r="F8" i="5"/>
  <c r="F7" i="5"/>
  <c r="F6" i="5"/>
  <c r="F5" i="5"/>
  <c r="F4" i="5"/>
  <c r="F3" i="5"/>
  <c r="F2" i="5"/>
  <c r="B3" i="4"/>
  <c r="B4" i="4"/>
  <c r="B5" i="4"/>
  <c r="B6" i="4"/>
  <c r="B7" i="4"/>
  <c r="B8" i="4"/>
  <c r="B9" i="4"/>
  <c r="B10" i="4"/>
  <c r="B11" i="4"/>
  <c r="B2" i="4"/>
  <c r="E11" i="3"/>
  <c r="E10" i="3"/>
  <c r="E9" i="3"/>
  <c r="E8" i="3"/>
  <c r="E7" i="3"/>
  <c r="E6" i="3"/>
  <c r="E5" i="3"/>
  <c r="E4" i="3"/>
  <c r="E3" i="3"/>
  <c r="E2" i="3"/>
  <c r="H11" i="2"/>
  <c r="H10" i="2"/>
  <c r="H9" i="2"/>
  <c r="H8" i="2"/>
  <c r="H7" i="2"/>
  <c r="H6" i="2"/>
  <c r="H5" i="2"/>
  <c r="H4" i="2"/>
  <c r="H3" i="2"/>
  <c r="H2" i="2"/>
  <c r="H11" i="1"/>
  <c r="H10" i="1"/>
  <c r="H9" i="1"/>
  <c r="H8" i="1"/>
  <c r="H7" i="1"/>
  <c r="H6" i="1"/>
  <c r="H5" i="1"/>
  <c r="H4" i="1"/>
  <c r="H3" i="1"/>
  <c r="H2" i="1"/>
  <c r="G3" i="6" l="1"/>
  <c r="G4" i="6"/>
  <c r="G5" i="6"/>
  <c r="G6" i="6"/>
  <c r="G7" i="6"/>
  <c r="G8" i="6"/>
  <c r="G9" i="6"/>
  <c r="G10" i="6"/>
  <c r="G11" i="6"/>
  <c r="G2" i="5"/>
  <c r="G3" i="5"/>
  <c r="G4" i="5"/>
  <c r="G5" i="5"/>
  <c r="G6" i="5"/>
  <c r="G7" i="5"/>
  <c r="G8" i="5"/>
  <c r="G9" i="5"/>
  <c r="G10" i="5"/>
  <c r="G11" i="5"/>
  <c r="G2" i="3"/>
  <c r="F2" i="3"/>
  <c r="G3" i="3"/>
  <c r="F3" i="3"/>
  <c r="G4" i="3"/>
  <c r="F4" i="3"/>
  <c r="G5" i="3"/>
  <c r="F5" i="3"/>
  <c r="G6" i="3"/>
  <c r="F6" i="3"/>
  <c r="G7" i="3"/>
  <c r="F7" i="3"/>
  <c r="G8" i="3"/>
  <c r="F8" i="3"/>
  <c r="G9" i="3"/>
  <c r="F9" i="3"/>
  <c r="G10" i="3"/>
  <c r="F10" i="3"/>
  <c r="G11" i="3"/>
  <c r="F11" i="3"/>
  <c r="L2" i="1"/>
  <c r="K2" i="1"/>
  <c r="L3" i="1"/>
  <c r="K3" i="1"/>
  <c r="L4" i="1"/>
  <c r="K4" i="1"/>
  <c r="L5" i="1"/>
  <c r="K5" i="1"/>
  <c r="L6" i="1"/>
  <c r="K6" i="1"/>
  <c r="L7" i="1"/>
  <c r="K7" i="1"/>
  <c r="L8" i="1"/>
  <c r="K8" i="1"/>
  <c r="L9" i="1"/>
  <c r="K9" i="1"/>
  <c r="L10" i="1"/>
  <c r="K10" i="1"/>
  <c r="L11" i="1"/>
  <c r="K11" i="1"/>
  <c r="K2" i="2"/>
  <c r="L2" i="2"/>
  <c r="J3" i="2"/>
  <c r="L3" i="2"/>
  <c r="K3" i="2"/>
  <c r="L4" i="2"/>
  <c r="K4" i="2"/>
  <c r="L5" i="2"/>
  <c r="K5" i="2"/>
  <c r="L6" i="2"/>
  <c r="K6" i="2"/>
  <c r="L7" i="2"/>
  <c r="K7" i="2"/>
  <c r="L8" i="2"/>
  <c r="K8" i="2"/>
  <c r="L9" i="2"/>
  <c r="K9" i="2"/>
  <c r="L10" i="2"/>
  <c r="K10" i="2"/>
  <c r="L11" i="2"/>
  <c r="K11" i="2"/>
  <c r="J2" i="2"/>
  <c r="I3" i="2"/>
  <c r="J4" i="2"/>
  <c r="I4" i="2"/>
  <c r="J5" i="2"/>
  <c r="I5" i="2"/>
  <c r="J6" i="2"/>
  <c r="I6" i="2"/>
  <c r="J7" i="2"/>
  <c r="I7" i="2"/>
  <c r="J8" i="2"/>
  <c r="I8" i="2"/>
  <c r="J9" i="2"/>
  <c r="I9" i="2"/>
  <c r="J10" i="2"/>
  <c r="I10" i="2"/>
  <c r="J11" i="2"/>
  <c r="I11" i="2"/>
  <c r="J2" i="1"/>
  <c r="J3" i="1"/>
  <c r="I3" i="1"/>
  <c r="J4" i="1"/>
  <c r="I4" i="1"/>
  <c r="J5" i="1"/>
  <c r="I5" i="1"/>
  <c r="J6" i="1"/>
  <c r="I6" i="1"/>
  <c r="J7" i="1"/>
  <c r="I7" i="1"/>
  <c r="J8" i="1"/>
  <c r="I8" i="1"/>
  <c r="J9" i="1"/>
  <c r="I9" i="1"/>
  <c r="J10" i="1"/>
  <c r="I10" i="1"/>
  <c r="J11" i="1"/>
  <c r="I11" i="1"/>
</calcChain>
</file>

<file path=xl/sharedStrings.xml><?xml version="1.0" encoding="utf-8"?>
<sst xmlns="http://schemas.openxmlformats.org/spreadsheetml/2006/main" count="83" uniqueCount="34">
  <si>
    <t>Ano</t>
  </si>
  <si>
    <t>População</t>
  </si>
  <si>
    <t xml:space="preserve">IPCA </t>
  </si>
  <si>
    <t>Receita Total Nominal (R$)</t>
  </si>
  <si>
    <t>Receita Tributária Nominal</t>
  </si>
  <si>
    <t>Transferências Correntes Nominal</t>
  </si>
  <si>
    <t>Despesa Total Nominal (R$)</t>
  </si>
  <si>
    <t>Fator de Deflação</t>
  </si>
  <si>
    <t>Receita Total Real (R$)</t>
  </si>
  <si>
    <t>Despesa Total Real (R$)</t>
  </si>
  <si>
    <t xml:space="preserve">Receita Tributária Real </t>
  </si>
  <si>
    <t>Transferências Correntes Real</t>
  </si>
  <si>
    <t>QUESTÃO 3</t>
  </si>
  <si>
    <t>QUESTÃO 4</t>
  </si>
  <si>
    <t>Receita Tributária</t>
  </si>
  <si>
    <t>Transferências Correntes</t>
  </si>
  <si>
    <t>IDEB</t>
  </si>
  <si>
    <t>Proxy de Carga Tributária</t>
  </si>
  <si>
    <t>PIB Municipal Nominal</t>
  </si>
  <si>
    <t>PIB Municipal Real</t>
  </si>
  <si>
    <t>Nome do Município</t>
  </si>
  <si>
    <t>Receita Total Real (R$) 2023</t>
  </si>
  <si>
    <t>População 2023</t>
  </si>
  <si>
    <t>Receita per Capita 2023</t>
  </si>
  <si>
    <t>Betim, Minas Gerais, Brasil</t>
  </si>
  <si>
    <t>Governador Valadares, Minas Gerais, Brasil</t>
  </si>
  <si>
    <t>Estado</t>
  </si>
  <si>
    <t>Receita</t>
  </si>
  <si>
    <t>Despesa</t>
  </si>
  <si>
    <t>Seattle</t>
  </si>
  <si>
    <t>Berlim</t>
  </si>
  <si>
    <t>Londres</t>
  </si>
  <si>
    <t>Paris</t>
  </si>
  <si>
    <t>Tóquio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</si>
</sst>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4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2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Betim: Composição da Receita Real 2014 - 2023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'Betim-MG (Micro 1)'!$K$1</c:f>
              <c:strCache>
                <c:ptCount val="1"/>
                <c:pt idx="0">
                  <c:v>Receita Tributária Real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'Betim-MG (Micro 1)'!$K$2:$K$11</c:f>
              <c:numCache>
                <c:formatCode>#,##0.00</c:formatCode>
                <c:ptCount val="10"/>
                <c:pt idx="0">
                  <c:v>328095116.43147421</c:v>
                </c:pt>
                <c:pt idx="1">
                  <c:v>287924687.91521353</c:v>
                </c:pt>
                <c:pt idx="2">
                  <c:v>255290030.78082797</c:v>
                </c:pt>
                <c:pt idx="3">
                  <c:v>293444167.14465284</c:v>
                </c:pt>
                <c:pt idx="4">
                  <c:v>321359864.80048466</c:v>
                </c:pt>
                <c:pt idx="5">
                  <c:v>318828058.50812829</c:v>
                </c:pt>
                <c:pt idx="6">
                  <c:v>327009755.36203319</c:v>
                </c:pt>
                <c:pt idx="7">
                  <c:v>364576132.50253552</c:v>
                </c:pt>
                <c:pt idx="8">
                  <c:v>402581891.75842208</c:v>
                </c:pt>
                <c:pt idx="9">
                  <c:v>438018943.73000002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9-44AA-952B-3F5D3CED9E4D}"/>
            </c:ext>
          </c:extLst>
        </c:ser>
        <c:ser>
          <c:idx val="2"/>
          <c:order val="1"/>
          <c:tx>
            <c:strRef>
              <c:f>'Betim-MG (Micro 1)'!$L$1</c:f>
              <c:strCache>
                <c:ptCount val="1"/>
                <c:pt idx="0">
                  <c:v>Transferências Correntes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'Betim-MG (Micro 1)'!$L$2:$L$11</c:f>
              <c:numCache>
                <c:formatCode>#,##0.00</c:formatCode>
                <c:ptCount val="10"/>
                <c:pt idx="0">
                  <c:v>1954574901.61023</c:v>
                </c:pt>
                <c:pt idx="1">
                  <c:v>1718503372.8970861</c:v>
                </c:pt>
                <c:pt idx="2">
                  <c:v>1744481877.0023243</c:v>
                </c:pt>
                <c:pt idx="3">
                  <c:v>1722090182.7737844</c:v>
                </c:pt>
                <c:pt idx="4">
                  <c:v>1540402657.7213316</c:v>
                </c:pt>
                <c:pt idx="5">
                  <c:v>1665705774.3725345</c:v>
                </c:pt>
                <c:pt idx="6">
                  <c:v>1957366847.2018099</c:v>
                </c:pt>
                <c:pt idx="7">
                  <c:v>2038886934.4830153</c:v>
                </c:pt>
                <c:pt idx="8">
                  <c:v>1933833495.8468013</c:v>
                </c:pt>
                <c:pt idx="9">
                  <c:v>1824968011.23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E9-44AA-952B-3F5D3CED9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021128"/>
        <c:axId val="36049927"/>
      </c:barChart>
      <c:catAx>
        <c:axId val="2022021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9927"/>
        <c:crosses val="autoZero"/>
        <c:auto val="1"/>
        <c:lblAlgn val="ctr"/>
        <c:lblOffset val="100"/>
        <c:noMultiLvlLbl val="0"/>
      </c:catAx>
      <c:valAx>
        <c:axId val="36049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2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Betim: Receita Real vs. Despesa Real (2014-2023)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'Betim-MG (Micro 1)'!$I$1</c:f>
              <c:strCache>
                <c:ptCount val="1"/>
                <c:pt idx="0">
                  <c:v>Receita Total Real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'Betim-MG (Micro 1)'!$I$2:$I$11</c:f>
              <c:numCache>
                <c:formatCode>#,##0.00</c:formatCode>
                <c:ptCount val="10"/>
                <c:pt idx="0">
                  <c:v>2682758236.1514993</c:v>
                </c:pt>
                <c:pt idx="1">
                  <c:v>2366710785.4810748</c:v>
                </c:pt>
                <c:pt idx="2">
                  <c:v>2524534748.8326321</c:v>
                </c:pt>
                <c:pt idx="3">
                  <c:v>2452256420.2698689</c:v>
                </c:pt>
                <c:pt idx="4">
                  <c:v>2363721319.6068707</c:v>
                </c:pt>
                <c:pt idx="5">
                  <c:v>2534549985.8479657</c:v>
                </c:pt>
                <c:pt idx="6">
                  <c:v>2886225168.3985815</c:v>
                </c:pt>
                <c:pt idx="7">
                  <c:v>2954369439.1243658</c:v>
                </c:pt>
                <c:pt idx="8">
                  <c:v>2997064070.1170154</c:v>
                </c:pt>
                <c:pt idx="9">
                  <c:v>2952757996.2600002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0-47C8-A8B8-BC81A300C3FD}"/>
            </c:ext>
          </c:extLst>
        </c:ser>
        <c:ser>
          <c:idx val="1"/>
          <c:order val="1"/>
          <c:tx>
            <c:strRef>
              <c:f>'Betim-MG (Micro 1)'!$J$1</c:f>
              <c:strCache>
                <c:ptCount val="1"/>
                <c:pt idx="0">
                  <c:v>Despesa Total Real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'Betim-MG (Micro 1)'!$J$2:$J$11</c:f>
              <c:numCache>
                <c:formatCode>#,##0.00</c:formatCode>
                <c:ptCount val="10"/>
                <c:pt idx="0">
                  <c:v>2172882903.2546763</c:v>
                </c:pt>
                <c:pt idx="1">
                  <c:v>1973012002.939923</c:v>
                </c:pt>
                <c:pt idx="2">
                  <c:v>1976162931.5241098</c:v>
                </c:pt>
                <c:pt idx="3">
                  <c:v>1806869288.702589</c:v>
                </c:pt>
                <c:pt idx="4">
                  <c:v>1961891635.9820523</c:v>
                </c:pt>
                <c:pt idx="5">
                  <c:v>2011018894.9469829</c:v>
                </c:pt>
                <c:pt idx="6">
                  <c:v>2180643169.8447018</c:v>
                </c:pt>
                <c:pt idx="7">
                  <c:v>2150754219.0497947</c:v>
                </c:pt>
                <c:pt idx="8">
                  <c:v>2333029817.6175513</c:v>
                </c:pt>
                <c:pt idx="9">
                  <c:v>2563906912.4499998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0-47C8-A8B8-BC81A300C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9671"/>
        <c:axId val="18611719"/>
      </c:lineChart>
      <c:catAx>
        <c:axId val="18609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719"/>
        <c:crosses val="autoZero"/>
        <c:auto val="1"/>
        <c:lblAlgn val="ctr"/>
        <c:lblOffset val="100"/>
        <c:noMultiLvlLbl val="0"/>
      </c:catAx>
      <c:valAx>
        <c:axId val="1861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Gov. Valadares: Composição da Receita Real 2014-2023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'Gov. Valadares-MG (Micro 2)'!$K$1</c:f>
              <c:strCache>
                <c:ptCount val="1"/>
                <c:pt idx="0">
                  <c:v>Receita Tributária Real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'Gov. Valadares-MG (Micro 2)'!$K$2:$K$11</c:f>
              <c:numCache>
                <c:formatCode>#,##0.00</c:formatCode>
                <c:ptCount val="10"/>
                <c:pt idx="0">
                  <c:v>167990337.34861875</c:v>
                </c:pt>
                <c:pt idx="1">
                  <c:v>165820500.89357847</c:v>
                </c:pt>
                <c:pt idx="2">
                  <c:v>163101964.10997343</c:v>
                </c:pt>
                <c:pt idx="3">
                  <c:v>174964362.5698165</c:v>
                </c:pt>
                <c:pt idx="4">
                  <c:v>213797265.42511585</c:v>
                </c:pt>
                <c:pt idx="5">
                  <c:v>237147546.13522393</c:v>
                </c:pt>
                <c:pt idx="6">
                  <c:v>242445548.52616313</c:v>
                </c:pt>
                <c:pt idx="7">
                  <c:v>260985483.36366746</c:v>
                </c:pt>
                <c:pt idx="8">
                  <c:v>285424768.36320567</c:v>
                </c:pt>
                <c:pt idx="9">
                  <c:v>307525582.48000002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D-40A3-8D33-DB7AD885E931}"/>
            </c:ext>
          </c:extLst>
        </c:ser>
        <c:ser>
          <c:idx val="2"/>
          <c:order val="1"/>
          <c:tx>
            <c:strRef>
              <c:f>'Gov. Valadares-MG (Micro 2)'!$L$1</c:f>
              <c:strCache>
                <c:ptCount val="1"/>
                <c:pt idx="0">
                  <c:v>Transferências Correntes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'Gov. Valadares-MG (Micro 2)'!$L$2:$L$11</c:f>
              <c:numCache>
                <c:formatCode>#,##0.00</c:formatCode>
                <c:ptCount val="10"/>
                <c:pt idx="0">
                  <c:v>622735127.08968508</c:v>
                </c:pt>
                <c:pt idx="1">
                  <c:v>609013476.00914276</c:v>
                </c:pt>
                <c:pt idx="2">
                  <c:v>608441240.02763999</c:v>
                </c:pt>
                <c:pt idx="3">
                  <c:v>591021350.72796285</c:v>
                </c:pt>
                <c:pt idx="4">
                  <c:v>564371663.38928092</c:v>
                </c:pt>
                <c:pt idx="5">
                  <c:v>627293291.76005054</c:v>
                </c:pt>
                <c:pt idx="6">
                  <c:v>781374227.17922127</c:v>
                </c:pt>
                <c:pt idx="7">
                  <c:v>775517147.23462808</c:v>
                </c:pt>
                <c:pt idx="8">
                  <c:v>811239398.42084599</c:v>
                </c:pt>
                <c:pt idx="9">
                  <c:v>840670485.24000001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0D-40A3-8D33-DB7AD885E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92903"/>
        <c:axId val="24594951"/>
      </c:barChart>
      <c:catAx>
        <c:axId val="24592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4951"/>
        <c:crosses val="autoZero"/>
        <c:auto val="1"/>
        <c:lblAlgn val="ctr"/>
        <c:lblOffset val="100"/>
        <c:noMultiLvlLbl val="0"/>
      </c:catAx>
      <c:valAx>
        <c:axId val="2459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Gov. Valadares: Receita Real vs. Despesa Real (2014-2023)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'Gov. Valadares-MG (Micro 2)'!$I$1</c:f>
              <c:strCache>
                <c:ptCount val="1"/>
                <c:pt idx="0">
                  <c:v>Receita Total Real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'Gov. Valadares-MG (Micro 2)'!$I$2:$I$11</c:f>
              <c:numCache>
                <c:formatCode>#,##0.00</c:formatCode>
                <c:ptCount val="10"/>
                <c:pt idx="0">
                  <c:v>1185075002.7552292</c:v>
                </c:pt>
                <c:pt idx="1">
                  <c:v>1120042110.581171</c:v>
                </c:pt>
                <c:pt idx="2">
                  <c:v>1094910576.4599955</c:v>
                </c:pt>
                <c:pt idx="3">
                  <c:v>1121425127.0222883</c:v>
                </c:pt>
                <c:pt idx="4">
                  <c:v>1094217060.3123941</c:v>
                </c:pt>
                <c:pt idx="5">
                  <c:v>1185643428.4631114</c:v>
                </c:pt>
                <c:pt idx="6">
                  <c:v>1349651639.231971</c:v>
                </c:pt>
                <c:pt idx="7">
                  <c:v>1385063341.0518513</c:v>
                </c:pt>
                <c:pt idx="8">
                  <c:v>1503335125.5687728</c:v>
                </c:pt>
                <c:pt idx="9">
                  <c:v>1547441182.0999999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7-4F26-A8B0-A83AA3DAA465}"/>
            </c:ext>
          </c:extLst>
        </c:ser>
        <c:ser>
          <c:idx val="1"/>
          <c:order val="1"/>
          <c:tx>
            <c:strRef>
              <c:f>'Gov. Valadares-MG (Micro 2)'!$J$1</c:f>
              <c:strCache>
                <c:ptCount val="1"/>
                <c:pt idx="0">
                  <c:v>Despesa Total Real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'Gov. Valadares-MG (Micro 2)'!$J$2:$J$11</c:f>
              <c:numCache>
                <c:formatCode>#,##0.00</c:formatCode>
                <c:ptCount val="10"/>
                <c:pt idx="0">
                  <c:v>1120845997.4605939</c:v>
                </c:pt>
                <c:pt idx="1">
                  <c:v>1095933317.4967611</c:v>
                </c:pt>
                <c:pt idx="2">
                  <c:v>1039545356.8999339</c:v>
                </c:pt>
                <c:pt idx="3">
                  <c:v>1046222185.3543004</c:v>
                </c:pt>
                <c:pt idx="4">
                  <c:v>1113163935.9423957</c:v>
                </c:pt>
                <c:pt idx="5">
                  <c:v>1185492981.523062</c:v>
                </c:pt>
                <c:pt idx="6">
                  <c:v>1263753145.492152</c:v>
                </c:pt>
                <c:pt idx="7">
                  <c:v>1276961042.7123075</c:v>
                </c:pt>
                <c:pt idx="8">
                  <c:v>1520513563.511858</c:v>
                </c:pt>
                <c:pt idx="9">
                  <c:v>1612163303.28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7-4F26-A8B0-A83AA3DAA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62727"/>
        <c:axId val="49636359"/>
      </c:lineChart>
      <c:catAx>
        <c:axId val="36062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6359"/>
        <c:crosses val="autoZero"/>
        <c:auto val="1"/>
        <c:lblAlgn val="ctr"/>
        <c:lblOffset val="100"/>
        <c:noMultiLvlLbl val="0"/>
      </c:catAx>
      <c:valAx>
        <c:axId val="4963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'QUESTÃO 5'!$H$13</c:f>
              <c:strCache>
                <c:ptCount val="1"/>
                <c:pt idx="0">
                  <c:v>IDEB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231846019247593E-2"/>
                  <c:y val="2.43562263050452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5'!$G$14:$G$18</c:f>
              <c:numCache>
                <c:formatCode>#,##0.00</c:formatCode>
                <c:ptCount val="5"/>
                <c:pt idx="0">
                  <c:v>1973012002.939923</c:v>
                </c:pt>
                <c:pt idx="1">
                  <c:v>1806869288.702589</c:v>
                </c:pt>
                <c:pt idx="2">
                  <c:v>2011018894.9469829</c:v>
                </c:pt>
                <c:pt idx="3">
                  <c:v>2150754219.0497947</c:v>
                </c:pt>
                <c:pt idx="4">
                  <c:v>2563906912.4499998</c:v>
                </c:pt>
              </c:numCache>
            </c:numRef>
          </c:xVal>
          <c:yVal>
            <c:numRef>
              <c:f>'QUESTÃO 5'!$H$14:$H$18</c:f>
              <c:numCache>
                <c:formatCode>#,##0.00</c:formatCode>
                <c:ptCount val="5"/>
                <c:pt idx="0">
                  <c:v>6.3</c:v>
                </c:pt>
                <c:pt idx="1">
                  <c:v>6.5</c:v>
                </c:pt>
                <c:pt idx="2">
                  <c:v>6.5</c:v>
                </c:pt>
                <c:pt idx="3">
                  <c:v>6.1</c:v>
                </c:pt>
                <c:pt idx="4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C-4FD1-837F-10669134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37447"/>
        <c:axId val="24641031"/>
      </c:scatterChart>
      <c:valAx>
        <c:axId val="24637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1031"/>
        <c:crosses val="autoZero"/>
        <c:crossBetween val="midCat"/>
      </c:valAx>
      <c:valAx>
        <c:axId val="24641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7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'QUESTÃO 6'!$C$1</c:f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6'!$C$2:$C$11</c:f>
            </c:numRef>
          </c:yVal>
          <c:smooth val="0"/>
          <c:extLst>
            <c:ext xmlns:c16="http://schemas.microsoft.com/office/drawing/2014/chart" uri="{C3380CC4-5D6E-409C-BE32-E72D297353CC}">
              <c16:uniqueId val="{00000000-BC71-4541-B375-B7D9F8C4D9F3}"/>
            </c:ext>
          </c:extLst>
        </c:ser>
        <c:ser>
          <c:idx val="1"/>
          <c:order val="1"/>
          <c:tx>
            <c:strRef>
              <c:f>'QUESTÃO 6'!$D$1</c:f>
              <c:strCache>
                <c:ptCount val="1"/>
                <c:pt idx="0">
                  <c:v>Receita Tributária Real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6'!$D$2:$D$11</c:f>
              <c:numCache>
                <c:formatCode>#,##0.00</c:formatCode>
                <c:ptCount val="10"/>
                <c:pt idx="0">
                  <c:v>328095116.43147421</c:v>
                </c:pt>
                <c:pt idx="1">
                  <c:v>287924687.91521353</c:v>
                </c:pt>
                <c:pt idx="2">
                  <c:v>255290030.78082797</c:v>
                </c:pt>
                <c:pt idx="3">
                  <c:v>293444167.14465284</c:v>
                </c:pt>
                <c:pt idx="4">
                  <c:v>321359864.80048466</c:v>
                </c:pt>
                <c:pt idx="5">
                  <c:v>318828058.50812829</c:v>
                </c:pt>
                <c:pt idx="6">
                  <c:v>327009755.36203319</c:v>
                </c:pt>
                <c:pt idx="7">
                  <c:v>364576132.50253552</c:v>
                </c:pt>
                <c:pt idx="8">
                  <c:v>402581891.75842208</c:v>
                </c:pt>
                <c:pt idx="9">
                  <c:v>438018943.73000002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71-4541-B375-B7D9F8C4D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807"/>
        <c:axId val="13778951"/>
      </c:scatterChart>
      <c:valAx>
        <c:axId val="13772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951"/>
        <c:crosses val="autoZero"/>
        <c:crossBetween val="midCat"/>
      </c:valAx>
      <c:valAx>
        <c:axId val="1377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Laffer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6'!$C$2:$C$11</c:f>
            </c:numRef>
          </c:yVal>
          <c:smooth val="0"/>
          <c:extLst>
            <c:ext xmlns:c16="http://schemas.microsoft.com/office/drawing/2014/chart" uri="{C3380CC4-5D6E-409C-BE32-E72D297353CC}">
              <c16:uniqueId val="{00000000-CFBF-4F03-8991-41B0B4939E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108464566929133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6'!$D$2:$D$11</c:f>
              <c:numCache>
                <c:formatCode>#,##0.00</c:formatCode>
                <c:ptCount val="10"/>
                <c:pt idx="0">
                  <c:v>328095116.43147421</c:v>
                </c:pt>
                <c:pt idx="1">
                  <c:v>287924687.91521353</c:v>
                </c:pt>
                <c:pt idx="2">
                  <c:v>255290030.78082797</c:v>
                </c:pt>
                <c:pt idx="3">
                  <c:v>293444167.14465284</c:v>
                </c:pt>
                <c:pt idx="4">
                  <c:v>321359864.80048466</c:v>
                </c:pt>
                <c:pt idx="5">
                  <c:v>318828058.50812829</c:v>
                </c:pt>
                <c:pt idx="6">
                  <c:v>327009755.36203319</c:v>
                </c:pt>
                <c:pt idx="7">
                  <c:v>364576132.50253552</c:v>
                </c:pt>
                <c:pt idx="8">
                  <c:v>402581891.75842208</c:v>
                </c:pt>
                <c:pt idx="9">
                  <c:v>438018943.73000002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BF-4F03-8991-41B0B493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986952"/>
        <c:axId val="2019995656"/>
      </c:scatterChart>
      <c:valAx>
        <c:axId val="2019986952"/>
        <c:scaling>
          <c:orientation val="minMax"/>
          <c:max val="0.15"/>
          <c:min val="0.1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95656"/>
        <c:crosses val="autoZero"/>
        <c:crossBetween val="midCat"/>
      </c:valAx>
      <c:valAx>
        <c:axId val="2019995656"/>
        <c:scaling>
          <c:orientation val="minMax"/>
          <c:min val="2500000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8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Gráficos de Dispersão de Betim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02340332458444"/>
                  <c:y val="-3.74041265675123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7 BETIM'!$J$2:$J$11</c:f>
              <c:numCache>
                <c:formatCode>#,##0.00</c:formatCode>
                <c:ptCount val="10"/>
                <c:pt idx="0">
                  <c:v>37207570.827425085</c:v>
                </c:pt>
                <c:pt idx="1">
                  <c:v>36035016.838886574</c:v>
                </c:pt>
                <c:pt idx="2">
                  <c:v>35678540.466277197</c:v>
                </c:pt>
                <c:pt idx="3">
                  <c:v>31813151.471276082</c:v>
                </c:pt>
                <c:pt idx="4">
                  <c:v>33830619.298007496</c:v>
                </c:pt>
                <c:pt idx="5">
                  <c:v>35687632.365212165</c:v>
                </c:pt>
                <c:pt idx="6">
                  <c:v>31894053.935722649</c:v>
                </c:pt>
                <c:pt idx="7">
                  <c:v>36661055.981016465</c:v>
                </c:pt>
                <c:pt idx="8">
                  <c:v>49984964.292646542</c:v>
                </c:pt>
                <c:pt idx="9">
                  <c:v>52614325</c:v>
                </c:pt>
              </c:numCache>
            </c:numRef>
          </c:xVal>
          <c:yVal>
            <c:numRef>
              <c:f>'QUESTÃO 7 BETIM'!$K$2:$K$11</c:f>
              <c:numCache>
                <c:formatCode>#,##0.00</c:formatCode>
                <c:ptCount val="10"/>
                <c:pt idx="0">
                  <c:v>2682758236.1514993</c:v>
                </c:pt>
                <c:pt idx="1">
                  <c:v>2366710785.4810748</c:v>
                </c:pt>
                <c:pt idx="2">
                  <c:v>2524534748.8326321</c:v>
                </c:pt>
                <c:pt idx="3">
                  <c:v>2452256420.2698689</c:v>
                </c:pt>
                <c:pt idx="4">
                  <c:v>2363721319.6068707</c:v>
                </c:pt>
                <c:pt idx="5">
                  <c:v>2534549985.8479657</c:v>
                </c:pt>
                <c:pt idx="6">
                  <c:v>2886225168.3985815</c:v>
                </c:pt>
                <c:pt idx="7">
                  <c:v>2954369439.1243658</c:v>
                </c:pt>
                <c:pt idx="8">
                  <c:v>2997064070.1170154</c:v>
                </c:pt>
                <c:pt idx="9">
                  <c:v>2952757996.2600002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5-46A2-B8C8-9C78F8666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0759"/>
        <c:axId val="18883591"/>
      </c:scatterChart>
      <c:valAx>
        <c:axId val="18570759"/>
        <c:scaling>
          <c:orientation val="minMax"/>
          <c:min val="2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591"/>
        <c:crosses val="autoZero"/>
        <c:crossBetween val="midCat"/>
      </c:valAx>
      <c:valAx>
        <c:axId val="18883591"/>
        <c:scaling>
          <c:orientation val="minMax"/>
          <c:min val="2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Gráficos de Dispersão de Governador Valadares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10433070866142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7 GOV. VALADARES'!$H$2:$H$11</c:f>
              <c:numCache>
                <c:formatCode>#,##0.00</c:formatCode>
                <c:ptCount val="10"/>
                <c:pt idx="0">
                  <c:v>5029289</c:v>
                </c:pt>
                <c:pt idx="1">
                  <c:v>5435820</c:v>
                </c:pt>
                <c:pt idx="2">
                  <c:v>5663968</c:v>
                </c:pt>
                <c:pt idx="3">
                  <c:v>5887859</c:v>
                </c:pt>
                <c:pt idx="4">
                  <c:v>6223879</c:v>
                </c:pt>
                <c:pt idx="5">
                  <c:v>6772786</c:v>
                </c:pt>
                <c:pt idx="6">
                  <c:v>6737553</c:v>
                </c:pt>
                <c:pt idx="7">
                  <c:v>7382104</c:v>
                </c:pt>
                <c:pt idx="8">
                  <c:v>8028769</c:v>
                </c:pt>
                <c:pt idx="9">
                  <c:v>8612266</c:v>
                </c:pt>
              </c:numCache>
            </c:numRef>
          </c:xVal>
          <c:yVal>
            <c:numRef>
              <c:f>'QUESTÃO 7 GOV. VALADARES'!$I$2:$I$11</c:f>
              <c:numCache>
                <c:formatCode>#,##0.00</c:formatCode>
                <c:ptCount val="10"/>
                <c:pt idx="0">
                  <c:v>1185075002.7552292</c:v>
                </c:pt>
                <c:pt idx="1">
                  <c:v>1120042110.581171</c:v>
                </c:pt>
                <c:pt idx="2">
                  <c:v>1094910576.4599955</c:v>
                </c:pt>
                <c:pt idx="3">
                  <c:v>1121425127.0222883</c:v>
                </c:pt>
                <c:pt idx="4">
                  <c:v>1094217060.3123941</c:v>
                </c:pt>
                <c:pt idx="5">
                  <c:v>1185643428.4631114</c:v>
                </c:pt>
                <c:pt idx="6">
                  <c:v>1349651639.231971</c:v>
                </c:pt>
                <c:pt idx="7">
                  <c:v>1385063341.0518513</c:v>
                </c:pt>
                <c:pt idx="8">
                  <c:v>1503335125.5687728</c:v>
                </c:pt>
                <c:pt idx="9">
                  <c:v>1547441182.0999999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2-4339-BE93-9027E80D2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9703"/>
        <c:axId val="29155847"/>
      </c:scatterChart>
      <c:valAx>
        <c:axId val="29149703"/>
        <c:scaling>
          <c:orientation val="minMax"/>
          <c:min val="4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5847"/>
        <c:crosses val="autoZero"/>
        <c:crossBetween val="midCat"/>
      </c:valAx>
      <c:valAx>
        <c:axId val="29155847"/>
        <c:scaling>
          <c:orientation val="minMax"/>
          <c:min val="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9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Betim: Composição da Receita Real 2014 - 2023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'Betim-MG (Micro 1)'!$K$1</c:f>
              <c:strCache>
                <c:ptCount val="1"/>
                <c:pt idx="0">
                  <c:v>Receita Tributária Real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'Betim-MG (Micro 1)'!$K$2:$K$11</c:f>
              <c:numCache>
                <c:formatCode>#,##0.00</c:formatCode>
                <c:ptCount val="10"/>
                <c:pt idx="0">
                  <c:v>328095116.43147421</c:v>
                </c:pt>
                <c:pt idx="1">
                  <c:v>287924687.91521353</c:v>
                </c:pt>
                <c:pt idx="2">
                  <c:v>255290030.78082797</c:v>
                </c:pt>
                <c:pt idx="3">
                  <c:v>293444167.14465284</c:v>
                </c:pt>
                <c:pt idx="4">
                  <c:v>321359864.80048466</c:v>
                </c:pt>
                <c:pt idx="5">
                  <c:v>318828058.50812829</c:v>
                </c:pt>
                <c:pt idx="6">
                  <c:v>327009755.36203319</c:v>
                </c:pt>
                <c:pt idx="7">
                  <c:v>364576132.50253552</c:v>
                </c:pt>
                <c:pt idx="8">
                  <c:v>402581891.75842208</c:v>
                </c:pt>
                <c:pt idx="9">
                  <c:v>438018943.73000002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7-4537-8342-E67F35F11E6C}"/>
            </c:ext>
          </c:extLst>
        </c:ser>
        <c:ser>
          <c:idx val="2"/>
          <c:order val="1"/>
          <c:tx>
            <c:strRef>
              <c:f>'Betim-MG (Micro 1)'!$L$1</c:f>
              <c:strCache>
                <c:ptCount val="1"/>
                <c:pt idx="0">
                  <c:v>Transferências Correntes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'Betim-MG (Micro 1)'!$L$2:$L$11</c:f>
              <c:numCache>
                <c:formatCode>#,##0.00</c:formatCode>
                <c:ptCount val="10"/>
                <c:pt idx="0">
                  <c:v>1954574901.61023</c:v>
                </c:pt>
                <c:pt idx="1">
                  <c:v>1718503372.8970861</c:v>
                </c:pt>
                <c:pt idx="2">
                  <c:v>1744481877.0023243</c:v>
                </c:pt>
                <c:pt idx="3">
                  <c:v>1722090182.7737844</c:v>
                </c:pt>
                <c:pt idx="4">
                  <c:v>1540402657.7213316</c:v>
                </c:pt>
                <c:pt idx="5">
                  <c:v>1665705774.3725345</c:v>
                </c:pt>
                <c:pt idx="6">
                  <c:v>1957366847.2018099</c:v>
                </c:pt>
                <c:pt idx="7">
                  <c:v>2038886934.4830153</c:v>
                </c:pt>
                <c:pt idx="8">
                  <c:v>1933833495.8468013</c:v>
                </c:pt>
                <c:pt idx="9">
                  <c:v>1824968011.23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7-4537-8342-E67F35F11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021128"/>
        <c:axId val="36049927"/>
      </c:barChart>
      <c:catAx>
        <c:axId val="2022021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9927"/>
        <c:crosses val="autoZero"/>
        <c:auto val="1"/>
        <c:lblAlgn val="ctr"/>
        <c:lblOffset val="100"/>
        <c:noMultiLvlLbl val="0"/>
      </c:catAx>
      <c:valAx>
        <c:axId val="36049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2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Laffer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6'!$C$2:$C$11</c:f>
            </c:numRef>
          </c:yVal>
          <c:smooth val="0"/>
          <c:extLst>
            <c:ext xmlns:c16="http://schemas.microsoft.com/office/drawing/2014/chart" uri="{C3380CC4-5D6E-409C-BE32-E72D297353CC}">
              <c16:uniqueId val="{00000000-3609-4FBD-A28B-2447469E79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108464566929133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6'!$B$2:$B$11</c:f>
              <c:numCache>
                <c:formatCode>0.00%</c:formatCode>
                <c:ptCount val="10"/>
                <c:pt idx="0">
                  <c:v>0.12229768303763999</c:v>
                </c:pt>
                <c:pt idx="1">
                  <c:v>0.121656050955414</c:v>
                </c:pt>
                <c:pt idx="2">
                  <c:v>0.10112359550561797</c:v>
                </c:pt>
                <c:pt idx="3">
                  <c:v>0.1196629213483146</c:v>
                </c:pt>
                <c:pt idx="4">
                  <c:v>0.13595505617977527</c:v>
                </c:pt>
                <c:pt idx="5">
                  <c:v>0.1257927680607413</c:v>
                </c:pt>
                <c:pt idx="6">
                  <c:v>0.11330015375878458</c:v>
                </c:pt>
                <c:pt idx="7">
                  <c:v>0.1234023503203414</c:v>
                </c:pt>
                <c:pt idx="8">
                  <c:v>0.1343254205915938</c:v>
                </c:pt>
                <c:pt idx="9">
                  <c:v>0.14834231057364003</c:v>
                </c:pt>
              </c:numCache>
            </c:numRef>
          </c:xVal>
          <c:yVal>
            <c:numRef>
              <c:f>'QUESTÃO 6'!$D$2:$D$11</c:f>
              <c:numCache>
                <c:formatCode>#,##0.00</c:formatCode>
                <c:ptCount val="10"/>
                <c:pt idx="0">
                  <c:v>328095116.43147421</c:v>
                </c:pt>
                <c:pt idx="1">
                  <c:v>287924687.91521353</c:v>
                </c:pt>
                <c:pt idx="2">
                  <c:v>255290030.78082797</c:v>
                </c:pt>
                <c:pt idx="3">
                  <c:v>293444167.14465284</c:v>
                </c:pt>
                <c:pt idx="4">
                  <c:v>321359864.80048466</c:v>
                </c:pt>
                <c:pt idx="5">
                  <c:v>318828058.50812829</c:v>
                </c:pt>
                <c:pt idx="6">
                  <c:v>327009755.36203319</c:v>
                </c:pt>
                <c:pt idx="7">
                  <c:v>364576132.50253552</c:v>
                </c:pt>
                <c:pt idx="8">
                  <c:v>402581891.75842208</c:v>
                </c:pt>
                <c:pt idx="9">
                  <c:v>438018943.73000002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09-4FBD-A28B-2447469E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986952"/>
        <c:axId val="2019995656"/>
      </c:scatterChart>
      <c:valAx>
        <c:axId val="2019986952"/>
        <c:scaling>
          <c:orientation val="minMax"/>
          <c:max val="0.15"/>
          <c:min val="0.1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95656"/>
        <c:crosses val="autoZero"/>
        <c:crossBetween val="midCat"/>
      </c:valAx>
      <c:valAx>
        <c:axId val="2019995656"/>
        <c:scaling>
          <c:orientation val="minMax"/>
          <c:min val="2500000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8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1/relationships/webextension" Target="../webextensions/webextension1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57150</xdr:rowOff>
    </xdr:from>
    <xdr:to>
      <xdr:col>4</xdr:col>
      <xdr:colOff>1533525</xdr:colOff>
      <xdr:row>36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E97C1C-C79D-9B24-4227-50FA6B753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1600200</xdr:colOff>
      <xdr:row>20</xdr:row>
      <xdr:rowOff>47625</xdr:rowOff>
    </xdr:from>
    <xdr:to>
      <xdr:col>9</xdr:col>
      <xdr:colOff>304800</xdr:colOff>
      <xdr:row>35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7A23C5-8E3E-535F-A1FD-771DE64D5D44}"/>
            </a:ext>
            <a:ext uri="{147F2762-F138-4A5C-976F-8EAC2B608ADB}">
              <a16:predDERef xmlns:a16="http://schemas.microsoft.com/office/drawing/2014/main" pred="{03E97C1C-C79D-9B24-4227-50FA6B753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20</xdr:row>
      <xdr:rowOff>57150</xdr:rowOff>
    </xdr:from>
    <xdr:to>
      <xdr:col>4</xdr:col>
      <xdr:colOff>1295400</xdr:colOff>
      <xdr:row>34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37140E-AB29-48E2-F4A2-7C3A64781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20</xdr:row>
      <xdr:rowOff>66675</xdr:rowOff>
    </xdr:from>
    <xdr:to>
      <xdr:col>9</xdr:col>
      <xdr:colOff>361950</xdr:colOff>
      <xdr:row>34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84660B-438D-1F7B-6D3F-1EB6CC224801}"/>
            </a:ext>
            <a:ext uri="{147F2762-F138-4A5C-976F-8EAC2B608ADB}">
              <a16:predDERef xmlns:a16="http://schemas.microsoft.com/office/drawing/2014/main" pred="{7937140E-AB29-48E2-F4A2-7C3A64781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11</xdr:row>
      <xdr:rowOff>180975</xdr:rowOff>
    </xdr:from>
    <xdr:to>
      <xdr:col>5</xdr:col>
      <xdr:colOff>571500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F6C997-007F-75B0-F9E2-5FB583AEC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114300</xdr:rowOff>
    </xdr:from>
    <xdr:to>
      <xdr:col>5</xdr:col>
      <xdr:colOff>542925</xdr:colOff>
      <xdr:row>44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D34AE-C1F8-55CA-CAC9-7003F577B277}"/>
            </a:ext>
            <a:ext uri="{147F2762-F138-4A5C-976F-8EAC2B608ADB}">
              <a16:predDERef xmlns:a16="http://schemas.microsoft.com/office/drawing/2014/main" pred="{C544B64B-BF4D-3211-8758-24076B218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2</xdr:row>
      <xdr:rowOff>161925</xdr:rowOff>
    </xdr:from>
    <xdr:to>
      <xdr:col>14</xdr:col>
      <xdr:colOff>19050</xdr:colOff>
      <xdr:row>17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E53AC0-058E-C7C3-F5B1-143F5983F7D6}"/>
            </a:ext>
            <a:ext uri="{147F2762-F138-4A5C-976F-8EAC2B608ADB}">
              <a16:predDERef xmlns:a16="http://schemas.microsoft.com/office/drawing/2014/main" pred="{FB4D34AE-C1F8-55CA-CAC9-7003F577B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1323975</xdr:colOff>
      <xdr:row>0</xdr:row>
      <xdr:rowOff>114300</xdr:rowOff>
    </xdr:from>
    <xdr:to>
      <xdr:col>18</xdr:col>
      <xdr:colOff>180975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AB53AA-7A73-3DB1-599A-C8E577796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38100</xdr:rowOff>
    </xdr:from>
    <xdr:to>
      <xdr:col>16</xdr:col>
      <xdr:colOff>381000</xdr:colOff>
      <xdr:row>14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74D76A-F6CC-1556-108A-8EEA1E95D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0</xdr:rowOff>
    </xdr:from>
    <xdr:to>
      <xdr:col>13</xdr:col>
      <xdr:colOff>295275</xdr:colOff>
      <xdr:row>30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pp1">
              <a:extLst>
                <a:ext uri="{FF2B5EF4-FFF2-40B4-BE49-F238E27FC236}">
                  <a16:creationId xmlns:a16="http://schemas.microsoft.com/office/drawing/2014/main" id="{8F48480F-4385-79B3-2A03-0C70989726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9875" y="0"/>
              <a:ext cx="5715000" cy="571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438150</xdr:colOff>
      <xdr:row>16</xdr:row>
      <xdr:rowOff>161925</xdr:rowOff>
    </xdr:from>
    <xdr:to>
      <xdr:col>24</xdr:col>
      <xdr:colOff>419100</xdr:colOff>
      <xdr:row>32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C2D064-161B-48EE-AE98-F23A44B68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438150</xdr:colOff>
      <xdr:row>0</xdr:row>
      <xdr:rowOff>0</xdr:rowOff>
    </xdr:from>
    <xdr:to>
      <xdr:col>24</xdr:col>
      <xdr:colOff>428625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C7BBE3-EE7E-471A-97B4-A8455388EBBB}"/>
            </a:ext>
            <a:ext uri="{147F2762-F138-4A5C-976F-8EAC2B608ADB}">
              <a16:predDERef xmlns:a16="http://schemas.microsoft.com/office/drawing/2014/main" pred="{B7C2D064-161B-48EE-AE98-F23A44B68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542925</xdr:colOff>
      <xdr:row>0</xdr:row>
      <xdr:rowOff>0</xdr:rowOff>
    </xdr:from>
    <xdr:to>
      <xdr:col>16</xdr:col>
      <xdr:colOff>161925</xdr:colOff>
      <xdr:row>30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pp3">
              <a:extLst>
                <a:ext uri="{FF2B5EF4-FFF2-40B4-BE49-F238E27FC236}">
                  <a16:creationId xmlns:a16="http://schemas.microsoft.com/office/drawing/2014/main" id="{60D4FD39-C3A0-C5DF-0F80-0751834164F7}"/>
                </a:ext>
                <a:ext uri="{147F2762-F138-4A5C-976F-8EAC2B608ADB}">
                  <a16:predDERef xmlns:a16="http://schemas.microsoft.com/office/drawing/2014/main" pred="{10C7BBE3-EE7E-471A-97B4-A8455388EB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0525" y="0"/>
              <a:ext cx="5715000" cy="571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25</xdr:col>
      <xdr:colOff>28575</xdr:colOff>
      <xdr:row>0</xdr:row>
      <xdr:rowOff>171450</xdr:rowOff>
    </xdr:from>
    <xdr:to>
      <xdr:col>28</xdr:col>
      <xdr:colOff>457200</xdr:colOff>
      <xdr:row>32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276AF5-8309-CDEE-1129-FBD613146C04}"/>
            </a:ext>
            <a:ext uri="{147F2762-F138-4A5C-976F-8EAC2B608ADB}">
              <a16:predDERef xmlns:a16="http://schemas.microsoft.com/office/drawing/2014/main" pred="{60D4FD39-C3A0-C5DF-0F80-0751834164F7}"/>
            </a:ext>
          </a:extLst>
        </xdr:cNvPr>
        <xdr:cNvSpPr txBox="1"/>
      </xdr:nvSpPr>
      <xdr:spPr>
        <a:xfrm>
          <a:off x="15268575" y="171450"/>
          <a:ext cx="2257425" cy="6105525"/>
        </a:xfrm>
        <a:prstGeom prst="rect">
          <a:avLst/>
        </a:prstGeom>
        <a:ln>
          <a:solidFill>
            <a:srgbClr val="0070BF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Elasticidade Betim: 0,38</a:t>
          </a: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Elasticidade Valadares: 0,80</a:t>
          </a: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IDEB R²: 0,08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webextension1.xml><?xml version="1.0" encoding="utf-8"?>
<we:webextension xmlns:we="http://schemas.microsoft.com/office/webextensions/webextension/2010/11" id="{8F48480F-4385-79B3-2A03-0C70989726FF}">
  <we:reference id="wa102957661" version="1.7.0.0" store="en-US" storeType="omex"/>
  <we:alternateReferences>
    <we:reference id="wa102957661" version="1.7.0.0" store="omex" storeType="omex"/>
  </we:alternateReferences>
  <we:properties>
    <we:property name="mapType" value="&quot;road&quot;"/>
    <we:property name="pointType" value="&quot;circles&quot;"/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showLegend" value="&quot;show&quot;"/>
  </we:properties>
  <we:bindings>
    <we:binding id="Locations" type="matrix" appref="{BFCBCC74-9416-4366-B55D-D772DC2F6599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0D4FD39-C3A0-C5DF-0F80-0751834164F7}">
  <we:reference id="WA102957661" version="1.7.0.0" store="pt-br" storeType="omex"/>
  <we:alternateReferences>
    <we:reference id="WA102957661" version="1.7.0.0" store="omex" storeType="omex"/>
  </we:alternateReferences>
  <we:properties>
    <we:property name="mapType" value="&quot;road&quot;"/>
    <we:property name="pointType" value="&quot;circles&quot;"/>
    <we:property name="color" value="[&quot;#990055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showLegend" value="&quot;show&quot;"/>
  </we:properties>
  <we:bindings>
    <we:binding id="Locations" type="matrix" appref="{35835088-3D11-4058-BAC4-E5DEDFE2A538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K1" sqref="K1:L11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4" width="25.28515625" bestFit="1" customWidth="1"/>
    <col min="5" max="6" width="25.28515625" customWidth="1"/>
    <col min="7" max="7" width="26.28515625" bestFit="1" customWidth="1"/>
    <col min="8" max="8" width="16.85546875" bestFit="1" customWidth="1"/>
    <col min="9" max="9" width="21.7109375" bestFit="1" customWidth="1"/>
    <col min="10" max="10" width="22.42578125" bestFit="1" customWidth="1"/>
    <col min="11" max="11" width="22" bestFit="1" customWidth="1"/>
    <col min="12" max="12" width="27.855468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2014</v>
      </c>
      <c r="B2" s="3">
        <v>412003</v>
      </c>
      <c r="C2" s="4">
        <v>4059.86</v>
      </c>
      <c r="D2" s="4">
        <v>1608030220.6500001</v>
      </c>
      <c r="E2" s="4">
        <v>196658370.24000001</v>
      </c>
      <c r="F2" s="4">
        <v>1171561219.3299999</v>
      </c>
      <c r="G2" s="4">
        <v>1302413809.52</v>
      </c>
      <c r="H2" s="5">
        <f>$C$11/C2</f>
        <v>1.6683506327804407</v>
      </c>
      <c r="I2" s="4">
        <f>D2*H2</f>
        <v>2682758236.1514993</v>
      </c>
      <c r="J2" s="4">
        <f>G2*H2</f>
        <v>2172882903.2546763</v>
      </c>
      <c r="K2" s="4">
        <f>E2*H2</f>
        <v>328095116.43147421</v>
      </c>
      <c r="L2" s="4">
        <f>F2*H2</f>
        <v>1954574901.61023</v>
      </c>
    </row>
    <row r="3" spans="1:12">
      <c r="A3">
        <v>2015</v>
      </c>
      <c r="B3" s="3">
        <v>412003</v>
      </c>
      <c r="C3" s="4">
        <v>4493.17</v>
      </c>
      <c r="D3" s="4">
        <v>1570000000</v>
      </c>
      <c r="E3" s="4">
        <v>191000000</v>
      </c>
      <c r="F3" s="4">
        <v>1140000000</v>
      </c>
      <c r="G3" s="4">
        <v>1308832859.3499999</v>
      </c>
      <c r="H3" s="5">
        <f t="shared" ref="H3:H11" si="0">$C$11/C3</f>
        <v>1.5074590990325316</v>
      </c>
      <c r="I3" s="4">
        <f t="shared" ref="I3:I11" si="1">D3*H3</f>
        <v>2366710785.4810748</v>
      </c>
      <c r="J3" s="4">
        <f t="shared" ref="J3:J12" si="2">G3*H3</f>
        <v>1973012002.939923</v>
      </c>
      <c r="K3" s="4">
        <f t="shared" ref="K3:K11" si="3">E3*H3</f>
        <v>287924687.91521353</v>
      </c>
      <c r="L3" s="4">
        <f t="shared" ref="L3:L11" si="4">F3*H3</f>
        <v>1718503372.8970861</v>
      </c>
    </row>
    <row r="4" spans="1:12">
      <c r="A4">
        <v>2016</v>
      </c>
      <c r="B4" s="3">
        <v>417307</v>
      </c>
      <c r="C4" s="4">
        <v>4775.7</v>
      </c>
      <c r="D4" s="4">
        <v>1780000000</v>
      </c>
      <c r="E4" s="4">
        <v>180000000</v>
      </c>
      <c r="F4" s="4">
        <v>1230000000</v>
      </c>
      <c r="G4" s="4">
        <v>1393353773.3</v>
      </c>
      <c r="H4" s="5">
        <f t="shared" si="0"/>
        <v>1.4182779487823776</v>
      </c>
      <c r="I4" s="4">
        <f t="shared" si="1"/>
        <v>2524534748.8326321</v>
      </c>
      <c r="J4" s="4">
        <f t="shared" si="2"/>
        <v>1976162931.5241098</v>
      </c>
      <c r="K4" s="4">
        <f t="shared" si="3"/>
        <v>255290030.78082797</v>
      </c>
      <c r="L4" s="4">
        <f t="shared" si="4"/>
        <v>1744481877.0023243</v>
      </c>
    </row>
    <row r="5" spans="1:12">
      <c r="A5">
        <v>2017</v>
      </c>
      <c r="B5" s="3">
        <v>422354</v>
      </c>
      <c r="C5" s="4">
        <v>4916.46</v>
      </c>
      <c r="D5" s="4">
        <v>1780000000</v>
      </c>
      <c r="E5" s="4">
        <v>213000000</v>
      </c>
      <c r="F5" s="4">
        <v>1250000000</v>
      </c>
      <c r="G5" s="4">
        <v>1311537940.04</v>
      </c>
      <c r="H5" s="5">
        <f t="shared" si="0"/>
        <v>1.3776721462190276</v>
      </c>
      <c r="I5" s="4">
        <f t="shared" si="1"/>
        <v>2452256420.2698689</v>
      </c>
      <c r="J5" s="4">
        <f t="shared" si="2"/>
        <v>1806869288.702589</v>
      </c>
      <c r="K5" s="4">
        <f t="shared" si="3"/>
        <v>293444167.14465284</v>
      </c>
      <c r="L5" s="4">
        <f t="shared" si="4"/>
        <v>1722090182.7737844</v>
      </c>
    </row>
    <row r="6" spans="1:12">
      <c r="A6">
        <v>2018</v>
      </c>
      <c r="B6" s="3">
        <v>422354</v>
      </c>
      <c r="C6" s="4">
        <v>5100.6099999999997</v>
      </c>
      <c r="D6" s="4">
        <v>1780000000</v>
      </c>
      <c r="E6" s="4">
        <v>242000000</v>
      </c>
      <c r="F6" s="4">
        <v>1160000000</v>
      </c>
      <c r="G6" s="4">
        <v>1477402214.5</v>
      </c>
      <c r="H6" s="5">
        <f t="shared" si="0"/>
        <v>1.3279333256218375</v>
      </c>
      <c r="I6" s="4">
        <f t="shared" si="1"/>
        <v>2363721319.6068707</v>
      </c>
      <c r="J6" s="4">
        <f t="shared" si="2"/>
        <v>1961891635.9820523</v>
      </c>
      <c r="K6" s="4">
        <f t="shared" si="3"/>
        <v>321359864.80048466</v>
      </c>
      <c r="L6" s="4">
        <f t="shared" si="4"/>
        <v>1540402657.7213316</v>
      </c>
    </row>
    <row r="7" spans="1:12">
      <c r="A7">
        <v>2019</v>
      </c>
      <c r="B7" s="3">
        <v>432575</v>
      </c>
      <c r="C7" s="4">
        <v>5320.25</v>
      </c>
      <c r="D7" s="4">
        <v>1990831542.55</v>
      </c>
      <c r="E7" s="4">
        <v>250432210.47999999</v>
      </c>
      <c r="F7" s="4">
        <v>1308374115.6199999</v>
      </c>
      <c r="G7" s="4">
        <v>1579609741.8</v>
      </c>
      <c r="H7" s="5">
        <f t="shared" si="0"/>
        <v>1.2731112259762229</v>
      </c>
      <c r="I7" s="4">
        <f t="shared" si="1"/>
        <v>2534549985.8479657</v>
      </c>
      <c r="J7" s="4">
        <f t="shared" si="2"/>
        <v>2011018894.9469829</v>
      </c>
      <c r="K7" s="4">
        <f t="shared" si="3"/>
        <v>318828058.50812829</v>
      </c>
      <c r="L7" s="4">
        <f t="shared" si="4"/>
        <v>1665705774.3725345</v>
      </c>
    </row>
    <row r="8" spans="1:12">
      <c r="A8">
        <v>2020</v>
      </c>
      <c r="B8" s="3">
        <v>439340</v>
      </c>
      <c r="C8" s="4">
        <v>5560.59</v>
      </c>
      <c r="D8" s="4">
        <v>2369478082.0999999</v>
      </c>
      <c r="E8" s="4">
        <v>268462231.02999997</v>
      </c>
      <c r="F8" s="4">
        <v>1606921696.1500001</v>
      </c>
      <c r="G8" s="4">
        <v>1790222832.3699999</v>
      </c>
      <c r="H8" s="5">
        <f t="shared" si="0"/>
        <v>1.2180847715799943</v>
      </c>
      <c r="I8" s="4">
        <f t="shared" si="1"/>
        <v>2886225168.3985815</v>
      </c>
      <c r="J8" s="4">
        <f t="shared" si="2"/>
        <v>2180643169.8447018</v>
      </c>
      <c r="K8" s="4">
        <f t="shared" si="3"/>
        <v>327009755.36203319</v>
      </c>
      <c r="L8" s="4">
        <f t="shared" si="4"/>
        <v>1957366847.2018099</v>
      </c>
    </row>
    <row r="9" spans="1:12">
      <c r="A9">
        <v>2021</v>
      </c>
      <c r="B9" s="3">
        <v>444784</v>
      </c>
      <c r="C9" s="4">
        <v>6120.04</v>
      </c>
      <c r="D9" s="4">
        <v>2669443140.79</v>
      </c>
      <c r="E9" s="4">
        <v>329415557.62</v>
      </c>
      <c r="F9" s="4">
        <v>1842251910.01</v>
      </c>
      <c r="G9" s="4">
        <v>1943330452.02</v>
      </c>
      <c r="H9" s="5">
        <f t="shared" si="0"/>
        <v>1.1067362304821537</v>
      </c>
      <c r="I9" s="4">
        <f t="shared" si="1"/>
        <v>2954369439.1243658</v>
      </c>
      <c r="J9" s="4">
        <f t="shared" si="2"/>
        <v>2150754219.0497947</v>
      </c>
      <c r="K9" s="4">
        <f t="shared" si="3"/>
        <v>364576132.50253552</v>
      </c>
      <c r="L9" s="4">
        <f t="shared" si="4"/>
        <v>2038886934.4830153</v>
      </c>
    </row>
    <row r="10" spans="1:12">
      <c r="A10">
        <v>2022</v>
      </c>
      <c r="B10" s="3">
        <v>450024</v>
      </c>
      <c r="C10" s="4">
        <v>6474.09</v>
      </c>
      <c r="D10" s="4">
        <v>2864681686.3499999</v>
      </c>
      <c r="E10" s="4">
        <v>384799572.38</v>
      </c>
      <c r="F10" s="4">
        <v>1848414738.6900001</v>
      </c>
      <c r="G10" s="4">
        <v>2229978284.04</v>
      </c>
      <c r="H10" s="5">
        <f t="shared" si="0"/>
        <v>1.0462119000508181</v>
      </c>
      <c r="I10" s="4">
        <f t="shared" si="1"/>
        <v>2997064070.1170154</v>
      </c>
      <c r="J10" s="4">
        <f t="shared" si="2"/>
        <v>2333029817.6175513</v>
      </c>
      <c r="K10" s="4">
        <f t="shared" si="3"/>
        <v>402581891.75842208</v>
      </c>
      <c r="L10" s="4">
        <f t="shared" si="4"/>
        <v>1933833495.8468013</v>
      </c>
    </row>
    <row r="11" spans="1:12">
      <c r="A11">
        <v>2023</v>
      </c>
      <c r="B11" s="3">
        <v>450024</v>
      </c>
      <c r="C11" s="4">
        <v>6773.27</v>
      </c>
      <c r="D11" s="4">
        <v>2952757996.2600002</v>
      </c>
      <c r="E11" s="4">
        <v>438018943.73000002</v>
      </c>
      <c r="F11" s="4">
        <v>1824968011.23</v>
      </c>
      <c r="G11" s="4">
        <v>2563906912.4499998</v>
      </c>
      <c r="H11" s="5">
        <f t="shared" si="0"/>
        <v>1</v>
      </c>
      <c r="I11" s="4">
        <f t="shared" si="1"/>
        <v>2952757996.2600002</v>
      </c>
      <c r="J11" s="4">
        <f t="shared" si="2"/>
        <v>2563906912.4499998</v>
      </c>
      <c r="K11" s="4">
        <f t="shared" si="3"/>
        <v>438018943.73000002</v>
      </c>
      <c r="L11" s="4">
        <f t="shared" si="4"/>
        <v>1824968011.23</v>
      </c>
    </row>
    <row r="12" spans="1:12">
      <c r="B12" s="3"/>
      <c r="C12" s="4"/>
      <c r="D12" s="4"/>
      <c r="E12" s="4"/>
      <c r="F12" s="4"/>
      <c r="I12" s="4"/>
      <c r="J12" s="4"/>
    </row>
    <row r="13" spans="1:12">
      <c r="B13" s="3"/>
      <c r="C13" s="4"/>
    </row>
    <row r="14" spans="1:12">
      <c r="B14" s="3"/>
      <c r="C14" s="4"/>
    </row>
    <row r="15" spans="1:12">
      <c r="C15" s="4"/>
    </row>
    <row r="16" spans="1:12">
      <c r="B16" s="3"/>
      <c r="C16" s="4"/>
    </row>
    <row r="17" spans="1:10">
      <c r="B17" s="3"/>
      <c r="C17" s="4"/>
    </row>
    <row r="18" spans="1:10">
      <c r="B18" s="3"/>
      <c r="C18" s="4"/>
    </row>
    <row r="19" spans="1:10">
      <c r="C19" s="4"/>
    </row>
    <row r="20" spans="1:10">
      <c r="A20" s="6" t="s">
        <v>12</v>
      </c>
      <c r="B20" s="7"/>
      <c r="C20" s="7"/>
      <c r="D20" s="7"/>
      <c r="E20" s="8"/>
      <c r="G20" s="16" t="s">
        <v>13</v>
      </c>
      <c r="H20" s="17"/>
      <c r="I20" s="17"/>
      <c r="J20" s="18"/>
    </row>
    <row r="21" spans="1:10">
      <c r="A21" s="9"/>
      <c r="B21" s="10"/>
      <c r="C21" s="11"/>
      <c r="D21" s="10"/>
      <c r="E21" s="12"/>
      <c r="G21" s="20"/>
      <c r="H21" s="21"/>
      <c r="I21" s="21"/>
      <c r="J21" s="22"/>
    </row>
    <row r="22" spans="1:10">
      <c r="A22" s="9"/>
      <c r="B22" s="10"/>
      <c r="C22" s="11"/>
      <c r="D22" s="10"/>
      <c r="E22" s="12"/>
      <c r="G22" s="20"/>
      <c r="H22" s="21"/>
      <c r="I22" s="21"/>
      <c r="J22" s="22"/>
    </row>
    <row r="23" spans="1:10">
      <c r="A23" s="9"/>
      <c r="B23" s="10"/>
      <c r="C23" s="10"/>
      <c r="D23" s="10"/>
      <c r="E23" s="12"/>
      <c r="G23" s="20"/>
      <c r="H23" s="21"/>
      <c r="I23" s="21"/>
      <c r="J23" s="22"/>
    </row>
    <row r="24" spans="1:10">
      <c r="A24" s="9"/>
      <c r="B24" s="10"/>
      <c r="C24" s="10"/>
      <c r="D24" s="10"/>
      <c r="E24" s="12"/>
      <c r="G24" s="20"/>
      <c r="H24" s="21"/>
      <c r="I24" s="21"/>
      <c r="J24" s="22"/>
    </row>
    <row r="25" spans="1:10">
      <c r="A25" s="9"/>
      <c r="B25" s="10"/>
      <c r="C25" s="10"/>
      <c r="D25" s="10"/>
      <c r="E25" s="12"/>
      <c r="G25" s="20"/>
      <c r="H25" s="21"/>
      <c r="I25" s="21"/>
      <c r="J25" s="22"/>
    </row>
    <row r="26" spans="1:10">
      <c r="A26" s="9"/>
      <c r="B26" s="10"/>
      <c r="C26" s="10"/>
      <c r="D26" s="10"/>
      <c r="E26" s="12"/>
      <c r="G26" s="20"/>
      <c r="H26" s="21"/>
      <c r="I26" s="21"/>
      <c r="J26" s="22"/>
    </row>
    <row r="27" spans="1:10">
      <c r="A27" s="9"/>
      <c r="B27" s="10"/>
      <c r="C27" s="10"/>
      <c r="D27" s="10"/>
      <c r="E27" s="12"/>
      <c r="G27" s="20"/>
      <c r="H27" s="21"/>
      <c r="I27" s="21"/>
      <c r="J27" s="22"/>
    </row>
    <row r="28" spans="1:10">
      <c r="A28" s="9"/>
      <c r="B28" s="10"/>
      <c r="C28" s="10"/>
      <c r="D28" s="10"/>
      <c r="E28" s="12"/>
      <c r="G28" s="20"/>
      <c r="H28" s="21"/>
      <c r="I28" s="21"/>
      <c r="J28" s="22"/>
    </row>
    <row r="29" spans="1:10">
      <c r="A29" s="9"/>
      <c r="B29" s="10"/>
      <c r="C29" s="10"/>
      <c r="D29" s="10"/>
      <c r="E29" s="12"/>
      <c r="G29" s="20"/>
      <c r="H29" s="21"/>
      <c r="I29" s="21"/>
      <c r="J29" s="22"/>
    </row>
    <row r="30" spans="1:10">
      <c r="A30" s="9"/>
      <c r="B30" s="10"/>
      <c r="C30" s="10"/>
      <c r="D30" s="10"/>
      <c r="E30" s="12"/>
      <c r="G30" s="20"/>
      <c r="H30" s="21"/>
      <c r="I30" s="21"/>
      <c r="J30" s="22"/>
    </row>
    <row r="31" spans="1:10">
      <c r="A31" s="9"/>
      <c r="B31" s="10"/>
      <c r="C31" s="10"/>
      <c r="D31" s="10"/>
      <c r="E31" s="12"/>
      <c r="G31" s="20"/>
      <c r="H31" s="21"/>
      <c r="I31" s="21"/>
      <c r="J31" s="22"/>
    </row>
    <row r="32" spans="1:10">
      <c r="A32" s="9"/>
      <c r="B32" s="10"/>
      <c r="C32" s="10"/>
      <c r="D32" s="10"/>
      <c r="E32" s="12"/>
      <c r="G32" s="20"/>
      <c r="H32" s="21"/>
      <c r="I32" s="21"/>
      <c r="J32" s="22"/>
    </row>
    <row r="33" spans="1:10">
      <c r="A33" s="9"/>
      <c r="B33" s="10"/>
      <c r="C33" s="10"/>
      <c r="D33" s="10"/>
      <c r="E33" s="12"/>
      <c r="G33" s="20"/>
      <c r="H33" s="21"/>
      <c r="I33" s="21"/>
      <c r="J33" s="22"/>
    </row>
    <row r="34" spans="1:10">
      <c r="A34" s="9"/>
      <c r="B34" s="10"/>
      <c r="C34" s="10"/>
      <c r="D34" s="10"/>
      <c r="E34" s="12"/>
      <c r="G34" s="20"/>
      <c r="H34" s="21"/>
      <c r="I34" s="21"/>
      <c r="J34" s="22"/>
    </row>
    <row r="35" spans="1:10">
      <c r="A35" s="9"/>
      <c r="B35" s="10"/>
      <c r="C35" s="10"/>
      <c r="D35" s="10"/>
      <c r="E35" s="12"/>
      <c r="G35" s="20"/>
      <c r="H35" s="21"/>
      <c r="I35" s="21"/>
      <c r="J35" s="22"/>
    </row>
    <row r="36" spans="1:10">
      <c r="A36" s="9"/>
      <c r="B36" s="10"/>
      <c r="C36" s="10"/>
      <c r="D36" s="10"/>
      <c r="E36" s="12"/>
      <c r="G36" s="23"/>
      <c r="H36" s="24"/>
      <c r="I36" s="24"/>
      <c r="J36" s="25"/>
    </row>
    <row r="37" spans="1:10">
      <c r="A37" s="13"/>
      <c r="B37" s="14"/>
      <c r="C37" s="14"/>
      <c r="D37" s="14"/>
      <c r="E37" s="15"/>
    </row>
  </sheetData>
  <mergeCells count="2">
    <mergeCell ref="A20:E20"/>
    <mergeCell ref="G20:J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2518-7CF5-4088-8C67-0B05B89EECB1}">
  <dimension ref="A1:L35"/>
  <sheetViews>
    <sheetView workbookViewId="0">
      <selection activeCell="I16" sqref="I16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4" width="25.28515625" bestFit="1" customWidth="1"/>
    <col min="5" max="6" width="25.28515625" customWidth="1"/>
    <col min="7" max="7" width="26.28515625" bestFit="1" customWidth="1"/>
    <col min="8" max="8" width="16.85546875" bestFit="1" customWidth="1"/>
    <col min="9" max="9" width="21.7109375" bestFit="1" customWidth="1"/>
    <col min="10" max="10" width="22.42578125" bestFit="1" customWidth="1"/>
    <col min="11" max="11" width="22" bestFit="1" customWidth="1"/>
    <col min="12" max="12" width="27.855468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2014</v>
      </c>
      <c r="B2" s="3">
        <v>276995</v>
      </c>
      <c r="C2" s="4">
        <v>4059.86</v>
      </c>
      <c r="D2" s="4">
        <v>710327301.38999999</v>
      </c>
      <c r="E2" s="4">
        <v>100692464.79000001</v>
      </c>
      <c r="F2" s="4">
        <v>373263937.95999998</v>
      </c>
      <c r="G2" s="4">
        <v>671828796.32000005</v>
      </c>
      <c r="H2" s="5">
        <f>$C$11/C2</f>
        <v>1.6683506327804407</v>
      </c>
      <c r="I2" s="4">
        <f>D2*H2</f>
        <v>1185075002.7552292</v>
      </c>
      <c r="J2" s="4">
        <f>G2*H2</f>
        <v>1120845997.4605939</v>
      </c>
      <c r="K2" s="4">
        <f>E2*H2</f>
        <v>167990337.34861875</v>
      </c>
      <c r="L2" s="4">
        <f>F2*H2</f>
        <v>622735127.08968508</v>
      </c>
    </row>
    <row r="3" spans="1:12">
      <c r="A3">
        <v>2015</v>
      </c>
      <c r="B3" s="3">
        <v>276995</v>
      </c>
      <c r="C3" s="4">
        <v>4493.17</v>
      </c>
      <c r="D3" s="4">
        <v>743000000</v>
      </c>
      <c r="E3" s="4">
        <v>110000000</v>
      </c>
      <c r="F3" s="4">
        <v>404000000</v>
      </c>
      <c r="G3" s="4">
        <v>727007000.19000006</v>
      </c>
      <c r="H3" s="5">
        <f t="shared" ref="H3:H11" si="0">$C$11/C3</f>
        <v>1.5074590990325316</v>
      </c>
      <c r="I3" s="4">
        <f>D3*H3</f>
        <v>1120042110.581171</v>
      </c>
      <c r="J3" s="4">
        <f>G3*H3</f>
        <v>1095933317.4967611</v>
      </c>
      <c r="K3" s="4">
        <f t="shared" ref="K3:K11" si="1">E3*H3</f>
        <v>165820500.89357847</v>
      </c>
      <c r="L3" s="4">
        <f t="shared" ref="L3:L11" si="2">F3*H3</f>
        <v>609013476.00914276</v>
      </c>
    </row>
    <row r="4" spans="1:12">
      <c r="A4">
        <v>2016</v>
      </c>
      <c r="B4" s="3">
        <v>278363</v>
      </c>
      <c r="C4" s="4">
        <v>4775.7</v>
      </c>
      <c r="D4" s="4">
        <v>772000000</v>
      </c>
      <c r="E4" s="4">
        <v>115000000</v>
      </c>
      <c r="F4" s="4">
        <v>429000000</v>
      </c>
      <c r="G4" s="4">
        <v>732963068.20000005</v>
      </c>
      <c r="H4" s="5">
        <f t="shared" si="0"/>
        <v>1.4182779487823776</v>
      </c>
      <c r="I4" s="4">
        <f>D4*H4</f>
        <v>1094910576.4599955</v>
      </c>
      <c r="J4" s="4">
        <f>G4*H4</f>
        <v>1039545356.8999339</v>
      </c>
      <c r="K4" s="4">
        <f t="shared" si="1"/>
        <v>163101964.10997343</v>
      </c>
      <c r="L4" s="4">
        <f t="shared" si="2"/>
        <v>608441240.02763999</v>
      </c>
    </row>
    <row r="5" spans="1:12">
      <c r="A5">
        <v>2017</v>
      </c>
      <c r="B5" s="3">
        <v>279665</v>
      </c>
      <c r="C5" s="4">
        <v>4916.46</v>
      </c>
      <c r="D5" s="4">
        <v>814000000</v>
      </c>
      <c r="E5" s="4">
        <v>127000000</v>
      </c>
      <c r="F5" s="4">
        <v>429000000</v>
      </c>
      <c r="G5" s="4">
        <v>759413034.67999995</v>
      </c>
      <c r="H5" s="5">
        <f t="shared" si="0"/>
        <v>1.3776721462190276</v>
      </c>
      <c r="I5" s="4">
        <f>D5*H5</f>
        <v>1121425127.0222883</v>
      </c>
      <c r="J5" s="4">
        <f>G5*H5</f>
        <v>1046222185.3543004</v>
      </c>
      <c r="K5" s="4">
        <f t="shared" si="1"/>
        <v>174964362.5698165</v>
      </c>
      <c r="L5" s="4">
        <f t="shared" si="2"/>
        <v>591021350.72796285</v>
      </c>
    </row>
    <row r="6" spans="1:12">
      <c r="A6">
        <v>2018</v>
      </c>
      <c r="B6" s="3">
        <v>279665</v>
      </c>
      <c r="C6" s="4">
        <v>5100.6099999999997</v>
      </c>
      <c r="D6" s="4">
        <v>824000000</v>
      </c>
      <c r="E6" s="4">
        <v>161000000</v>
      </c>
      <c r="F6" s="4">
        <v>425000000</v>
      </c>
      <c r="G6" s="4">
        <v>838267941.97000003</v>
      </c>
      <c r="H6" s="5">
        <f t="shared" si="0"/>
        <v>1.3279333256218375</v>
      </c>
      <c r="I6" s="4">
        <f>D6*H6</f>
        <v>1094217060.3123941</v>
      </c>
      <c r="J6" s="4">
        <f>G6*H6</f>
        <v>1113163935.9423957</v>
      </c>
      <c r="K6" s="4">
        <f t="shared" si="1"/>
        <v>213797265.42511585</v>
      </c>
      <c r="L6" s="4">
        <f t="shared" si="2"/>
        <v>564371663.38928092</v>
      </c>
    </row>
    <row r="7" spans="1:12">
      <c r="A7">
        <v>2019</v>
      </c>
      <c r="B7" s="3">
        <v>278685</v>
      </c>
      <c r="C7" s="4">
        <v>5320.25</v>
      </c>
      <c r="D7" s="4">
        <v>931296028.39999998</v>
      </c>
      <c r="E7" s="4">
        <v>186274020.13</v>
      </c>
      <c r="F7" s="4">
        <v>492724656.69999999</v>
      </c>
      <c r="G7" s="4">
        <v>931177855.74000001</v>
      </c>
      <c r="H7" s="5">
        <f t="shared" si="0"/>
        <v>1.2731112259762229</v>
      </c>
      <c r="I7" s="4">
        <f>D7*H7</f>
        <v>1185643428.4631114</v>
      </c>
      <c r="J7" s="4">
        <f>G7*H7</f>
        <v>1185492981.523062</v>
      </c>
      <c r="K7" s="4">
        <f t="shared" si="1"/>
        <v>237147546.13522393</v>
      </c>
      <c r="L7" s="4">
        <f t="shared" si="2"/>
        <v>627293291.76005054</v>
      </c>
    </row>
    <row r="8" spans="1:12">
      <c r="A8">
        <v>2020</v>
      </c>
      <c r="B8" s="3">
        <v>279885</v>
      </c>
      <c r="C8" s="4">
        <v>5560.59</v>
      </c>
      <c r="D8" s="4">
        <v>1108011257.28</v>
      </c>
      <c r="E8" s="4">
        <v>199038321.62</v>
      </c>
      <c r="F8" s="4">
        <v>641477707.79999995</v>
      </c>
      <c r="G8" s="4">
        <v>1037491950.46</v>
      </c>
      <c r="H8" s="5">
        <f t="shared" si="0"/>
        <v>1.2180847715799943</v>
      </c>
      <c r="I8" s="4">
        <f>D8*H8</f>
        <v>1349651639.231971</v>
      </c>
      <c r="J8" s="4">
        <f>G8*H8</f>
        <v>1263753145.492152</v>
      </c>
      <c r="K8" s="4">
        <f t="shared" si="1"/>
        <v>242445548.52616313</v>
      </c>
      <c r="L8" s="4">
        <f t="shared" si="2"/>
        <v>781374227.17922127</v>
      </c>
    </row>
    <row r="9" spans="1:12">
      <c r="A9">
        <v>2021</v>
      </c>
      <c r="B9" s="3">
        <v>281046</v>
      </c>
      <c r="C9" s="4">
        <v>6120.04</v>
      </c>
      <c r="D9" s="4">
        <v>1251484593.0799999</v>
      </c>
      <c r="E9" s="4">
        <v>235815432.96000001</v>
      </c>
      <c r="F9" s="4">
        <v>700724459.78999996</v>
      </c>
      <c r="G9" s="4">
        <v>1153807933.22</v>
      </c>
      <c r="H9" s="5">
        <f t="shared" si="0"/>
        <v>1.1067362304821537</v>
      </c>
      <c r="I9" s="4">
        <f>D9*H9</f>
        <v>1385063341.0518513</v>
      </c>
      <c r="J9" s="4">
        <f>G9*H9</f>
        <v>1276961042.7123075</v>
      </c>
      <c r="K9" s="4">
        <f t="shared" si="1"/>
        <v>260985483.36366746</v>
      </c>
      <c r="L9" s="4">
        <f t="shared" si="2"/>
        <v>775517147.23462808</v>
      </c>
    </row>
    <row r="10" spans="1:12">
      <c r="A10">
        <v>2022</v>
      </c>
      <c r="B10" s="3">
        <v>282164</v>
      </c>
      <c r="C10" s="4">
        <v>6474.09</v>
      </c>
      <c r="D10" s="4">
        <v>1436931777.8699999</v>
      </c>
      <c r="E10" s="4">
        <v>272817359.80000001</v>
      </c>
      <c r="F10" s="4">
        <v>775406395.57000005</v>
      </c>
      <c r="G10" s="4">
        <v>1453351432.3800001</v>
      </c>
      <c r="H10" s="5">
        <f t="shared" si="0"/>
        <v>1.0462119000508181</v>
      </c>
      <c r="I10" s="4">
        <f>D10*H10</f>
        <v>1503335125.5687728</v>
      </c>
      <c r="J10" s="4">
        <f>G10*H10</f>
        <v>1520513563.511858</v>
      </c>
      <c r="K10" s="4">
        <f t="shared" si="1"/>
        <v>285424768.36320567</v>
      </c>
      <c r="L10" s="4">
        <f t="shared" si="2"/>
        <v>811239398.42084599</v>
      </c>
    </row>
    <row r="11" spans="1:12">
      <c r="A11">
        <v>2023</v>
      </c>
      <c r="B11" s="3">
        <v>282164</v>
      </c>
      <c r="C11" s="4">
        <v>6773.27</v>
      </c>
      <c r="D11" s="4">
        <v>1547441182.0999999</v>
      </c>
      <c r="E11" s="4">
        <v>307525582.48000002</v>
      </c>
      <c r="F11" s="4">
        <v>840670485.24000001</v>
      </c>
      <c r="G11" s="4">
        <v>1612163303.28</v>
      </c>
      <c r="H11" s="5">
        <f t="shared" si="0"/>
        <v>1</v>
      </c>
      <c r="I11" s="4">
        <f>D11*H11</f>
        <v>1547441182.0999999</v>
      </c>
      <c r="J11" s="4">
        <f>G11*H11</f>
        <v>1612163303.28</v>
      </c>
      <c r="K11" s="4">
        <f t="shared" si="1"/>
        <v>307525582.48000002</v>
      </c>
      <c r="L11" s="4">
        <f t="shared" si="2"/>
        <v>840670485.24000001</v>
      </c>
    </row>
    <row r="12" spans="1:12">
      <c r="B12" s="3"/>
      <c r="C12" s="4"/>
      <c r="D12" s="4"/>
      <c r="E12" s="4"/>
      <c r="F12" s="4"/>
      <c r="I12" s="4"/>
      <c r="J12" s="4"/>
    </row>
    <row r="13" spans="1:12">
      <c r="B13" s="3"/>
      <c r="C13" s="4"/>
      <c r="E13" s="4"/>
    </row>
    <row r="14" spans="1:12">
      <c r="B14" s="3"/>
      <c r="C14" s="4"/>
      <c r="E14" s="4"/>
    </row>
    <row r="15" spans="1:12">
      <c r="B15" s="3"/>
      <c r="C15" s="4"/>
      <c r="E15" s="4"/>
    </row>
    <row r="16" spans="1:12">
      <c r="B16" s="3"/>
      <c r="C16" s="4"/>
      <c r="E16" s="4"/>
    </row>
    <row r="17" spans="1:10">
      <c r="B17" s="3"/>
      <c r="C17" s="4"/>
      <c r="E17" s="4"/>
    </row>
    <row r="18" spans="1:10">
      <c r="B18" s="3"/>
      <c r="C18" s="4"/>
      <c r="E18" s="4"/>
    </row>
    <row r="19" spans="1:10">
      <c r="C19" s="4"/>
      <c r="E19" s="4"/>
    </row>
    <row r="20" spans="1:10">
      <c r="A20" s="6" t="s">
        <v>12</v>
      </c>
      <c r="B20" s="7"/>
      <c r="C20" s="7"/>
      <c r="D20" s="7"/>
      <c r="E20" s="8"/>
      <c r="G20" s="16" t="s">
        <v>13</v>
      </c>
      <c r="H20" s="17"/>
      <c r="I20" s="17"/>
      <c r="J20" s="18"/>
    </row>
    <row r="21" spans="1:10">
      <c r="A21" s="9"/>
      <c r="B21" s="10"/>
      <c r="C21" s="11"/>
      <c r="D21" s="10"/>
      <c r="E21" s="12"/>
      <c r="G21" s="9"/>
      <c r="H21" s="10"/>
      <c r="I21" s="10"/>
      <c r="J21" s="12"/>
    </row>
    <row r="22" spans="1:10">
      <c r="A22" s="9"/>
      <c r="B22" s="10"/>
      <c r="C22" s="11"/>
      <c r="D22" s="10"/>
      <c r="E22" s="12"/>
      <c r="G22" s="19"/>
      <c r="H22" s="10"/>
      <c r="I22" s="10"/>
      <c r="J22" s="12"/>
    </row>
    <row r="23" spans="1:10">
      <c r="A23" s="9"/>
      <c r="B23" s="10"/>
      <c r="C23" s="10"/>
      <c r="D23" s="10"/>
      <c r="E23" s="12"/>
      <c r="G23" s="9"/>
      <c r="H23" s="10"/>
      <c r="I23" s="10"/>
      <c r="J23" s="12"/>
    </row>
    <row r="24" spans="1:10">
      <c r="A24" s="9"/>
      <c r="B24" s="10"/>
      <c r="C24" s="10"/>
      <c r="D24" s="10"/>
      <c r="E24" s="12"/>
      <c r="G24" s="9"/>
      <c r="H24" s="10"/>
      <c r="I24" s="10"/>
      <c r="J24" s="12"/>
    </row>
    <row r="25" spans="1:10">
      <c r="A25" s="9"/>
      <c r="B25" s="10"/>
      <c r="C25" s="10"/>
      <c r="D25" s="10"/>
      <c r="E25" s="12"/>
      <c r="G25" s="9"/>
      <c r="H25" s="10"/>
      <c r="I25" s="10"/>
      <c r="J25" s="12"/>
    </row>
    <row r="26" spans="1:10">
      <c r="A26" s="9"/>
      <c r="B26" s="10"/>
      <c r="C26" s="10"/>
      <c r="D26" s="10"/>
      <c r="E26" s="12"/>
      <c r="G26" s="9"/>
      <c r="H26" s="10"/>
      <c r="I26" s="10"/>
      <c r="J26" s="12"/>
    </row>
    <row r="27" spans="1:10">
      <c r="A27" s="9"/>
      <c r="B27" s="10"/>
      <c r="C27" s="10"/>
      <c r="D27" s="10"/>
      <c r="E27" s="12"/>
      <c r="G27" s="9"/>
      <c r="H27" s="10"/>
      <c r="I27" s="10"/>
      <c r="J27" s="12"/>
    </row>
    <row r="28" spans="1:10">
      <c r="A28" s="9"/>
      <c r="B28" s="10"/>
      <c r="C28" s="10"/>
      <c r="D28" s="10"/>
      <c r="E28" s="12"/>
      <c r="G28" s="9"/>
      <c r="H28" s="10"/>
      <c r="I28" s="10"/>
      <c r="J28" s="12"/>
    </row>
    <row r="29" spans="1:10">
      <c r="A29" s="9"/>
      <c r="B29" s="10"/>
      <c r="C29" s="10"/>
      <c r="D29" s="10"/>
      <c r="E29" s="12"/>
      <c r="G29" s="9"/>
      <c r="H29" s="10"/>
      <c r="I29" s="10"/>
      <c r="J29" s="12"/>
    </row>
    <row r="30" spans="1:10">
      <c r="A30" s="9"/>
      <c r="B30" s="10"/>
      <c r="C30" s="10"/>
      <c r="D30" s="10"/>
      <c r="E30" s="12"/>
      <c r="G30" s="9"/>
      <c r="H30" s="10"/>
      <c r="I30" s="10"/>
      <c r="J30" s="12"/>
    </row>
    <row r="31" spans="1:10">
      <c r="A31" s="9"/>
      <c r="B31" s="10"/>
      <c r="C31" s="10"/>
      <c r="D31" s="10"/>
      <c r="E31" s="12"/>
      <c r="G31" s="9"/>
      <c r="H31" s="10"/>
      <c r="I31" s="10"/>
      <c r="J31" s="12"/>
    </row>
    <row r="32" spans="1:10">
      <c r="A32" s="9"/>
      <c r="B32" s="10"/>
      <c r="C32" s="10"/>
      <c r="D32" s="10"/>
      <c r="E32" s="12"/>
      <c r="G32" s="9"/>
      <c r="H32" s="10"/>
      <c r="I32" s="10"/>
      <c r="J32" s="12"/>
    </row>
    <row r="33" spans="1:10">
      <c r="A33" s="9"/>
      <c r="B33" s="10"/>
      <c r="C33" s="10"/>
      <c r="D33" s="10"/>
      <c r="E33" s="12"/>
      <c r="G33" s="9"/>
      <c r="H33" s="10"/>
      <c r="I33" s="10"/>
      <c r="J33" s="12"/>
    </row>
    <row r="34" spans="1:10">
      <c r="A34" s="9"/>
      <c r="B34" s="10"/>
      <c r="C34" s="10"/>
      <c r="D34" s="10"/>
      <c r="E34" s="12"/>
      <c r="G34" s="9"/>
      <c r="H34" s="10"/>
      <c r="I34" s="10"/>
      <c r="J34" s="12"/>
    </row>
    <row r="35" spans="1:10">
      <c r="A35" s="13"/>
      <c r="B35" s="14"/>
      <c r="C35" s="14"/>
      <c r="D35" s="14"/>
      <c r="E35" s="15"/>
      <c r="G35" s="13"/>
      <c r="H35" s="14"/>
      <c r="I35" s="14"/>
      <c r="J35" s="15"/>
    </row>
  </sheetData>
  <mergeCells count="2">
    <mergeCell ref="A20:E20"/>
    <mergeCell ref="G20:J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17E8-C117-4E7C-8EB4-AF7425357B1C}">
  <dimension ref="A1:M18"/>
  <sheetViews>
    <sheetView topLeftCell="A6" workbookViewId="0">
      <selection activeCell="M21" sqref="M21"/>
    </sheetView>
  </sheetViews>
  <sheetFormatPr defaultRowHeight="15"/>
  <cols>
    <col min="1" max="1" width="5.42578125" bestFit="1" customWidth="1"/>
    <col min="2" max="2" width="8.7109375" bestFit="1" customWidth="1"/>
    <col min="3" max="3" width="25.28515625" bestFit="1" customWidth="1"/>
    <col min="4" max="4" width="26.28515625" bestFit="1" customWidth="1"/>
    <col min="5" max="5" width="16.85546875" bestFit="1" customWidth="1"/>
    <col min="6" max="6" width="21.7109375" bestFit="1" customWidth="1"/>
    <col min="7" max="7" width="22.42578125" bestFit="1" customWidth="1"/>
    <col min="12" max="12" width="22.42578125" bestFit="1" customWidth="1"/>
  </cols>
  <sheetData>
    <row r="1" spans="1:13">
      <c r="A1" s="1" t="s">
        <v>0</v>
      </c>
      <c r="B1" s="2" t="s">
        <v>2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16</v>
      </c>
    </row>
    <row r="2" spans="1:13">
      <c r="A2">
        <v>2014</v>
      </c>
      <c r="B2" s="4">
        <v>4059.86</v>
      </c>
      <c r="C2" s="4">
        <v>1608030220.6500001</v>
      </c>
      <c r="D2" s="4">
        <v>1302413809.52</v>
      </c>
      <c r="E2" s="5">
        <f>$B$11/B2</f>
        <v>1.6683506327804407</v>
      </c>
      <c r="F2" s="4">
        <f>C2*E2</f>
        <v>2682758236.1514993</v>
      </c>
      <c r="G2" s="4">
        <f>D2*E2</f>
        <v>2172882903.2546763</v>
      </c>
      <c r="H2" s="4"/>
    </row>
    <row r="3" spans="1:13">
      <c r="A3">
        <v>2015</v>
      </c>
      <c r="B3" s="4">
        <v>4493.17</v>
      </c>
      <c r="C3" s="4">
        <v>1570000000</v>
      </c>
      <c r="D3" s="4">
        <v>1308832859.3499999</v>
      </c>
      <c r="E3" s="5">
        <f t="shared" ref="E3:E11" si="0">$B$11/B3</f>
        <v>1.5074590990325316</v>
      </c>
      <c r="F3" s="4">
        <f>C3*E3</f>
        <v>2366710785.4810748</v>
      </c>
      <c r="G3" s="4">
        <f t="shared" ref="G3:G11" si="1">D3*E3</f>
        <v>1973012002.939923</v>
      </c>
      <c r="H3" s="4">
        <v>6.3</v>
      </c>
    </row>
    <row r="4" spans="1:13">
      <c r="A4">
        <v>2016</v>
      </c>
      <c r="B4" s="4">
        <v>4775.7</v>
      </c>
      <c r="C4" s="4">
        <v>1780000000</v>
      </c>
      <c r="D4" s="4">
        <v>1393353773.3</v>
      </c>
      <c r="E4" s="5">
        <f t="shared" si="0"/>
        <v>1.4182779487823776</v>
      </c>
      <c r="F4" s="4">
        <f>C4*E4</f>
        <v>2524534748.8326321</v>
      </c>
      <c r="G4" s="4">
        <f t="shared" si="1"/>
        <v>1976162931.5241098</v>
      </c>
      <c r="H4" s="4"/>
    </row>
    <row r="5" spans="1:13">
      <c r="A5">
        <v>2017</v>
      </c>
      <c r="B5" s="4">
        <v>4916.46</v>
      </c>
      <c r="C5" s="4">
        <v>1780000000</v>
      </c>
      <c r="D5" s="4">
        <v>1311537940.04</v>
      </c>
      <c r="E5" s="5">
        <f t="shared" si="0"/>
        <v>1.3776721462190276</v>
      </c>
      <c r="F5" s="4">
        <f>C5*E5</f>
        <v>2452256420.2698689</v>
      </c>
      <c r="G5" s="4">
        <f t="shared" si="1"/>
        <v>1806869288.702589</v>
      </c>
      <c r="H5" s="4">
        <v>6.5</v>
      </c>
    </row>
    <row r="6" spans="1:13">
      <c r="A6">
        <v>2018</v>
      </c>
      <c r="B6" s="4">
        <v>5100.6099999999997</v>
      </c>
      <c r="C6" s="4">
        <v>1780000000</v>
      </c>
      <c r="D6" s="4">
        <v>1477402214.5</v>
      </c>
      <c r="E6" s="5">
        <f t="shared" si="0"/>
        <v>1.3279333256218375</v>
      </c>
      <c r="F6" s="4">
        <f>C6*E6</f>
        <v>2363721319.6068707</v>
      </c>
      <c r="G6" s="4">
        <f t="shared" si="1"/>
        <v>1961891635.9820523</v>
      </c>
      <c r="H6" s="4"/>
    </row>
    <row r="7" spans="1:13">
      <c r="A7">
        <v>2019</v>
      </c>
      <c r="B7" s="4">
        <v>5320.25</v>
      </c>
      <c r="C7" s="4">
        <v>1990831542.55</v>
      </c>
      <c r="D7" s="4">
        <v>1579609741.8</v>
      </c>
      <c r="E7" s="5">
        <f t="shared" si="0"/>
        <v>1.2731112259762229</v>
      </c>
      <c r="F7" s="4">
        <f>C7*E7</f>
        <v>2534549985.8479657</v>
      </c>
      <c r="G7" s="4">
        <f t="shared" si="1"/>
        <v>2011018894.9469829</v>
      </c>
      <c r="H7" s="4">
        <v>6.5</v>
      </c>
    </row>
    <row r="8" spans="1:13">
      <c r="A8">
        <v>2020</v>
      </c>
      <c r="B8" s="4">
        <v>5560.59</v>
      </c>
      <c r="C8" s="4">
        <v>2369478082.0999999</v>
      </c>
      <c r="D8" s="4">
        <v>1790222832.3699999</v>
      </c>
      <c r="E8" s="5">
        <f t="shared" si="0"/>
        <v>1.2180847715799943</v>
      </c>
      <c r="F8" s="4">
        <f>C8*E8</f>
        <v>2886225168.3985815</v>
      </c>
      <c r="G8" s="4">
        <f t="shared" si="1"/>
        <v>2180643169.8447018</v>
      </c>
      <c r="H8" s="4"/>
    </row>
    <row r="9" spans="1:13">
      <c r="A9">
        <v>2021</v>
      </c>
      <c r="B9" s="4">
        <v>6120.04</v>
      </c>
      <c r="C9" s="4">
        <v>2669443140.79</v>
      </c>
      <c r="D9" s="4">
        <v>1943330452.02</v>
      </c>
      <c r="E9" s="5">
        <f t="shared" si="0"/>
        <v>1.1067362304821537</v>
      </c>
      <c r="F9" s="4">
        <f>C9*E9</f>
        <v>2954369439.1243658</v>
      </c>
      <c r="G9" s="4">
        <f t="shared" si="1"/>
        <v>2150754219.0497947</v>
      </c>
      <c r="H9" s="4">
        <v>6.1</v>
      </c>
    </row>
    <row r="10" spans="1:13">
      <c r="A10">
        <v>2022</v>
      </c>
      <c r="B10" s="4">
        <v>6474.09</v>
      </c>
      <c r="C10" s="4">
        <v>2864681686.3499999</v>
      </c>
      <c r="D10" s="4">
        <v>2229978284.04</v>
      </c>
      <c r="E10" s="5">
        <f t="shared" si="0"/>
        <v>1.0462119000508181</v>
      </c>
      <c r="F10" s="4">
        <f>C10*E10</f>
        <v>2997064070.1170154</v>
      </c>
      <c r="G10" s="4">
        <f t="shared" si="1"/>
        <v>2333029817.6175513</v>
      </c>
      <c r="H10" s="4"/>
    </row>
    <row r="11" spans="1:13">
      <c r="A11">
        <v>2023</v>
      </c>
      <c r="B11" s="4">
        <v>6773.27</v>
      </c>
      <c r="C11" s="4">
        <v>2952757996.2600002</v>
      </c>
      <c r="D11" s="4">
        <v>2563906912.4499998</v>
      </c>
      <c r="E11" s="5">
        <f t="shared" si="0"/>
        <v>1</v>
      </c>
      <c r="F11" s="4">
        <f>C11*E11</f>
        <v>2952757996.2600002</v>
      </c>
      <c r="G11" s="4">
        <f t="shared" si="1"/>
        <v>2563906912.4499998</v>
      </c>
      <c r="H11" s="4">
        <v>6.3</v>
      </c>
    </row>
    <row r="13" spans="1:13">
      <c r="G13" s="2" t="s">
        <v>9</v>
      </c>
      <c r="H13" s="2" t="s">
        <v>16</v>
      </c>
      <c r="L13" s="2"/>
      <c r="M13" s="2"/>
    </row>
    <row r="14" spans="1:13">
      <c r="G14" s="4">
        <v>1973012002.939923</v>
      </c>
      <c r="H14" s="4">
        <v>6.3</v>
      </c>
      <c r="L14" s="4"/>
      <c r="M14" s="4"/>
    </row>
    <row r="15" spans="1:13">
      <c r="G15" s="4">
        <v>1806869288.702589</v>
      </c>
      <c r="H15" s="4">
        <v>6.5</v>
      </c>
      <c r="L15" s="4"/>
      <c r="M15" s="4"/>
    </row>
    <row r="16" spans="1:13">
      <c r="G16" s="4">
        <v>2011018894.9469829</v>
      </c>
      <c r="H16" s="4">
        <v>6.5</v>
      </c>
      <c r="L16" s="4"/>
      <c r="M16" s="4"/>
    </row>
    <row r="17" spans="7:13">
      <c r="G17" s="4">
        <v>2150754219.0497947</v>
      </c>
      <c r="H17" s="4">
        <v>6.1</v>
      </c>
      <c r="L17" s="4"/>
      <c r="M17" s="4"/>
    </row>
    <row r="18" spans="7:13">
      <c r="G18" s="4">
        <v>2563906912.4499998</v>
      </c>
      <c r="H18" s="4">
        <v>6.3</v>
      </c>
      <c r="L18" s="4"/>
      <c r="M18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3747-A126-4E9C-B55B-0014B4B83823}">
  <dimension ref="A1:D13"/>
  <sheetViews>
    <sheetView workbookViewId="0">
      <selection activeCell="I18" sqref="I18"/>
    </sheetView>
  </sheetViews>
  <sheetFormatPr defaultRowHeight="15"/>
  <cols>
    <col min="1" max="1" width="5.42578125" bestFit="1" customWidth="1"/>
    <col min="2" max="2" width="23.85546875" bestFit="1" customWidth="1"/>
    <col min="3" max="3" width="21.7109375" hidden="1" customWidth="1"/>
    <col min="4" max="4" width="22" bestFit="1" customWidth="1"/>
  </cols>
  <sheetData>
    <row r="1" spans="1:4">
      <c r="A1" s="1" t="s">
        <v>0</v>
      </c>
      <c r="B1" s="1" t="s">
        <v>17</v>
      </c>
      <c r="C1" s="2" t="s">
        <v>8</v>
      </c>
      <c r="D1" s="2" t="s">
        <v>10</v>
      </c>
    </row>
    <row r="2" spans="1:4">
      <c r="A2">
        <v>2014</v>
      </c>
      <c r="B2" s="26">
        <f>D2/C2</f>
        <v>0.12229768303763999</v>
      </c>
      <c r="C2" s="4">
        <v>2682758236.1514993</v>
      </c>
      <c r="D2" s="4">
        <v>328095116.43147421</v>
      </c>
    </row>
    <row r="3" spans="1:4">
      <c r="A3">
        <v>2015</v>
      </c>
      <c r="B3" s="26">
        <f t="shared" ref="B3:B11" si="0">D3/C3</f>
        <v>0.121656050955414</v>
      </c>
      <c r="C3" s="4">
        <v>2366710785.4810748</v>
      </c>
      <c r="D3" s="4">
        <v>287924687.91521353</v>
      </c>
    </row>
    <row r="4" spans="1:4">
      <c r="A4">
        <v>2016</v>
      </c>
      <c r="B4" s="26">
        <f t="shared" si="0"/>
        <v>0.10112359550561797</v>
      </c>
      <c r="C4" s="4">
        <v>2524534748.8326321</v>
      </c>
      <c r="D4" s="4">
        <v>255290030.78082797</v>
      </c>
    </row>
    <row r="5" spans="1:4">
      <c r="A5">
        <v>2017</v>
      </c>
      <c r="B5" s="26">
        <f t="shared" si="0"/>
        <v>0.1196629213483146</v>
      </c>
      <c r="C5" s="4">
        <v>2452256420.2698689</v>
      </c>
      <c r="D5" s="4">
        <v>293444167.14465284</v>
      </c>
    </row>
    <row r="6" spans="1:4">
      <c r="A6">
        <v>2018</v>
      </c>
      <c r="B6" s="26">
        <f t="shared" si="0"/>
        <v>0.13595505617977527</v>
      </c>
      <c r="C6" s="4">
        <v>2363721319.6068707</v>
      </c>
      <c r="D6" s="4">
        <v>321359864.80048466</v>
      </c>
    </row>
    <row r="7" spans="1:4">
      <c r="A7">
        <v>2019</v>
      </c>
      <c r="B7" s="26">
        <f t="shared" si="0"/>
        <v>0.1257927680607413</v>
      </c>
      <c r="C7" s="4">
        <v>2534549985.8479657</v>
      </c>
      <c r="D7" s="4">
        <v>318828058.50812829</v>
      </c>
    </row>
    <row r="8" spans="1:4">
      <c r="A8">
        <v>2020</v>
      </c>
      <c r="B8" s="26">
        <f t="shared" si="0"/>
        <v>0.11330015375878458</v>
      </c>
      <c r="C8" s="4">
        <v>2886225168.3985815</v>
      </c>
      <c r="D8" s="4">
        <v>327009755.36203319</v>
      </c>
    </row>
    <row r="9" spans="1:4">
      <c r="A9">
        <v>2021</v>
      </c>
      <c r="B9" s="26">
        <f t="shared" si="0"/>
        <v>0.1234023503203414</v>
      </c>
      <c r="C9" s="4">
        <v>2954369439.1243658</v>
      </c>
      <c r="D9" s="4">
        <v>364576132.50253552</v>
      </c>
    </row>
    <row r="10" spans="1:4">
      <c r="A10">
        <v>2022</v>
      </c>
      <c r="B10" s="26">
        <f t="shared" si="0"/>
        <v>0.1343254205915938</v>
      </c>
      <c r="C10" s="4">
        <v>2997064070.1170154</v>
      </c>
      <c r="D10" s="4">
        <v>402581891.75842208</v>
      </c>
    </row>
    <row r="11" spans="1:4">
      <c r="A11">
        <v>2023</v>
      </c>
      <c r="B11" s="26">
        <f t="shared" si="0"/>
        <v>0.14834231057364003</v>
      </c>
      <c r="C11" s="4">
        <v>2952757996.2600002</v>
      </c>
      <c r="D11" s="4">
        <v>438018943.73000002</v>
      </c>
    </row>
    <row r="13" spans="1:4">
      <c r="A13" s="1"/>
      <c r="B1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3A59-D595-4BEE-851F-F5AE348D0CB1}">
  <dimension ref="A1:N14"/>
  <sheetViews>
    <sheetView topLeftCell="E1" workbookViewId="0">
      <selection activeCell="T10" sqref="T10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4" width="25.28515625" bestFit="1" customWidth="1"/>
    <col min="5" max="5" width="25.28515625" customWidth="1"/>
    <col min="6" max="6" width="16.85546875" bestFit="1" customWidth="1"/>
    <col min="7" max="7" width="21.7109375" bestFit="1" customWidth="1"/>
    <col min="8" max="8" width="18" bestFit="1" customWidth="1"/>
    <col min="10" max="10" width="18" bestFit="1" customWidth="1"/>
    <col min="11" max="11" width="21.710937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7</v>
      </c>
      <c r="G1" s="2" t="s">
        <v>8</v>
      </c>
      <c r="H1" s="27" t="s">
        <v>19</v>
      </c>
      <c r="J1" s="27" t="s">
        <v>19</v>
      </c>
      <c r="K1" s="2" t="s">
        <v>8</v>
      </c>
    </row>
    <row r="2" spans="1:14">
      <c r="A2">
        <v>2014</v>
      </c>
      <c r="B2" s="3">
        <v>412003</v>
      </c>
      <c r="C2" s="4">
        <v>4059.86</v>
      </c>
      <c r="D2" s="4">
        <v>1608030220.6500001</v>
      </c>
      <c r="E2" s="4">
        <v>22302009</v>
      </c>
      <c r="F2" s="5">
        <f>$C$11/C2</f>
        <v>1.6683506327804407</v>
      </c>
      <c r="G2" s="4">
        <f>D2*F2</f>
        <v>2682758236.1514993</v>
      </c>
      <c r="H2" s="4">
        <f>E2*F2</f>
        <v>37207570.827425085</v>
      </c>
      <c r="J2" s="4">
        <v>37207570.827425085</v>
      </c>
      <c r="K2" s="4">
        <v>2682758236.1514993</v>
      </c>
    </row>
    <row r="3" spans="1:14">
      <c r="A3">
        <v>2015</v>
      </c>
      <c r="B3" s="3">
        <v>412003</v>
      </c>
      <c r="C3" s="4">
        <v>4493.17</v>
      </c>
      <c r="D3" s="4">
        <v>1570000000</v>
      </c>
      <c r="E3" s="4">
        <v>23904474</v>
      </c>
      <c r="F3" s="5">
        <f t="shared" ref="F3:F11" si="0">$C$11/C3</f>
        <v>1.5074590990325316</v>
      </c>
      <c r="G3" s="4">
        <f>D3*F3</f>
        <v>2366710785.4810748</v>
      </c>
      <c r="H3" s="4">
        <f t="shared" ref="H3:J11" si="1">E3*F3</f>
        <v>36035016.838886574</v>
      </c>
      <c r="J3" s="4">
        <v>36035016.838886574</v>
      </c>
      <c r="K3" s="4">
        <v>2366710785.4810748</v>
      </c>
    </row>
    <row r="4" spans="1:14">
      <c r="A4">
        <v>2016</v>
      </c>
      <c r="B4" s="3">
        <v>417307</v>
      </c>
      <c r="C4" s="4">
        <v>4775.7</v>
      </c>
      <c r="D4" s="4">
        <v>1780000000</v>
      </c>
      <c r="E4" s="4">
        <v>25156240</v>
      </c>
      <c r="F4" s="5">
        <f t="shared" si="0"/>
        <v>1.4182779487823776</v>
      </c>
      <c r="G4" s="4">
        <f>D4*F4</f>
        <v>2524534748.8326321</v>
      </c>
      <c r="H4" s="4">
        <f t="shared" si="1"/>
        <v>35678540.466277197</v>
      </c>
      <c r="J4" s="4">
        <v>35678540.466277197</v>
      </c>
      <c r="K4" s="4">
        <v>2524534748.8326321</v>
      </c>
    </row>
    <row r="5" spans="1:14">
      <c r="A5">
        <v>2017</v>
      </c>
      <c r="B5" s="3">
        <v>422354</v>
      </c>
      <c r="C5" s="4">
        <v>4916.46</v>
      </c>
      <c r="D5" s="4">
        <v>1780000000</v>
      </c>
      <c r="E5" s="4">
        <v>23091961</v>
      </c>
      <c r="F5" s="5">
        <f t="shared" si="0"/>
        <v>1.3776721462190276</v>
      </c>
      <c r="G5" s="4">
        <f>D5*F5</f>
        <v>2452256420.2698689</v>
      </c>
      <c r="H5" s="4">
        <f t="shared" si="1"/>
        <v>31813151.471276082</v>
      </c>
      <c r="J5" s="4">
        <v>31813151.471276082</v>
      </c>
      <c r="K5" s="4">
        <v>2452256420.2698689</v>
      </c>
    </row>
    <row r="6" spans="1:14">
      <c r="A6">
        <v>2018</v>
      </c>
      <c r="B6" s="3">
        <v>422354</v>
      </c>
      <c r="C6" s="4">
        <v>5100.6099999999997</v>
      </c>
      <c r="D6" s="4">
        <v>1780000000</v>
      </c>
      <c r="E6" s="4">
        <v>25476143</v>
      </c>
      <c r="F6" s="5">
        <f t="shared" si="0"/>
        <v>1.3279333256218375</v>
      </c>
      <c r="G6" s="4">
        <f>D6*F6</f>
        <v>2363721319.6068707</v>
      </c>
      <c r="H6" s="4">
        <f t="shared" si="1"/>
        <v>33830619.298007496</v>
      </c>
      <c r="J6" s="4">
        <v>33830619.298007496</v>
      </c>
      <c r="K6" s="4">
        <v>2363721319.6068707</v>
      </c>
    </row>
    <row r="7" spans="1:14">
      <c r="A7">
        <v>2019</v>
      </c>
      <c r="B7" s="3">
        <v>432575</v>
      </c>
      <c r="C7" s="4">
        <v>5320.25</v>
      </c>
      <c r="D7" s="4">
        <v>1990831542.55</v>
      </c>
      <c r="E7" s="4">
        <v>28031826</v>
      </c>
      <c r="F7" s="5">
        <f t="shared" si="0"/>
        <v>1.2731112259762229</v>
      </c>
      <c r="G7" s="4">
        <f>D7*F7</f>
        <v>2534549985.8479657</v>
      </c>
      <c r="H7" s="4">
        <f t="shared" si="1"/>
        <v>35687632.365212165</v>
      </c>
      <c r="J7" s="4">
        <v>35687632.365212165</v>
      </c>
      <c r="K7" s="4">
        <v>2534549985.8479657</v>
      </c>
    </row>
    <row r="8" spans="1:14">
      <c r="A8">
        <v>2020</v>
      </c>
      <c r="B8" s="3">
        <v>439340</v>
      </c>
      <c r="C8" s="4">
        <v>5560.59</v>
      </c>
      <c r="D8" s="4">
        <v>2369478082.0999999</v>
      </c>
      <c r="E8" s="4">
        <v>26183772</v>
      </c>
      <c r="F8" s="5">
        <f t="shared" si="0"/>
        <v>1.2180847715799943</v>
      </c>
      <c r="G8" s="4">
        <f>D8*F8</f>
        <v>2886225168.3985815</v>
      </c>
      <c r="H8" s="4">
        <f t="shared" si="1"/>
        <v>31894053.935722649</v>
      </c>
      <c r="J8" s="4">
        <v>31894053.935722649</v>
      </c>
      <c r="K8" s="4">
        <v>2886225168.3985815</v>
      </c>
    </row>
    <row r="9" spans="1:14">
      <c r="A9">
        <v>2021</v>
      </c>
      <c r="B9" s="3">
        <v>444784</v>
      </c>
      <c r="C9" s="4">
        <v>6120.04</v>
      </c>
      <c r="D9" s="4">
        <v>2669443140.79</v>
      </c>
      <c r="E9" s="4">
        <v>33125378</v>
      </c>
      <c r="F9" s="5">
        <f t="shared" si="0"/>
        <v>1.1067362304821537</v>
      </c>
      <c r="G9" s="4">
        <f>D9*F9</f>
        <v>2954369439.1243658</v>
      </c>
      <c r="H9" s="4">
        <f t="shared" si="1"/>
        <v>36661055.981016465</v>
      </c>
      <c r="J9" s="4">
        <v>36661055.981016465</v>
      </c>
      <c r="K9" s="4">
        <v>2954369439.1243658</v>
      </c>
    </row>
    <row r="10" spans="1:14">
      <c r="A10">
        <v>2022</v>
      </c>
      <c r="B10" s="3">
        <v>450024</v>
      </c>
      <c r="C10" s="4">
        <v>6474.09</v>
      </c>
      <c r="D10" s="4">
        <v>2864681686.3499999</v>
      </c>
      <c r="E10" s="4">
        <v>47777094</v>
      </c>
      <c r="F10" s="5">
        <f t="shared" si="0"/>
        <v>1.0462119000508181</v>
      </c>
      <c r="G10" s="4">
        <f>D10*F10</f>
        <v>2997064070.1170154</v>
      </c>
      <c r="H10" s="4">
        <f t="shared" si="1"/>
        <v>49984964.292646542</v>
      </c>
      <c r="J10" s="4">
        <v>49984964.292646542</v>
      </c>
      <c r="K10" s="4">
        <v>2997064070.1170154</v>
      </c>
    </row>
    <row r="11" spans="1:14">
      <c r="A11">
        <v>2023</v>
      </c>
      <c r="B11" s="3">
        <v>450024</v>
      </c>
      <c r="C11" s="4">
        <v>6773.27</v>
      </c>
      <c r="D11" s="4">
        <v>2952757996.2600002</v>
      </c>
      <c r="E11" s="4">
        <v>52614325</v>
      </c>
      <c r="F11" s="5">
        <f t="shared" si="0"/>
        <v>1</v>
      </c>
      <c r="G11" s="4">
        <f>D11*F11</f>
        <v>2952757996.2600002</v>
      </c>
      <c r="H11" s="4">
        <f t="shared" si="1"/>
        <v>52614325</v>
      </c>
      <c r="J11" s="4">
        <v>52614325</v>
      </c>
      <c r="K11" s="4">
        <v>2952757996.2600002</v>
      </c>
    </row>
    <row r="14" spans="1:14">
      <c r="E14" s="28"/>
      <c r="F14" s="28"/>
      <c r="G14" s="28"/>
      <c r="H14" s="28"/>
      <c r="I14" s="28"/>
      <c r="J14" s="28"/>
      <c r="K14" s="28"/>
      <c r="L14" s="28"/>
      <c r="M14" s="28"/>
      <c r="N14" s="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250C-77DA-42E1-A900-62628447209B}">
  <dimension ref="A1:N17"/>
  <sheetViews>
    <sheetView topLeftCell="D1" workbookViewId="0">
      <selection activeCell="R9" sqref="R9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4" width="25.28515625" bestFit="1" customWidth="1"/>
    <col min="5" max="5" width="25.28515625" customWidth="1"/>
    <col min="6" max="6" width="16.85546875" bestFit="1" customWidth="1"/>
    <col min="7" max="7" width="21.7109375" bestFit="1" customWidth="1"/>
    <col min="8" max="8" width="18" bestFit="1" customWidth="1"/>
    <col min="9" max="9" width="21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7</v>
      </c>
      <c r="G1" s="2" t="s">
        <v>8</v>
      </c>
      <c r="H1" s="27" t="s">
        <v>19</v>
      </c>
      <c r="I1" s="2" t="s">
        <v>8</v>
      </c>
    </row>
    <row r="2" spans="1:9">
      <c r="A2">
        <v>2014</v>
      </c>
      <c r="B2" s="3">
        <v>276995</v>
      </c>
      <c r="C2" s="4">
        <v>4059.86</v>
      </c>
      <c r="D2" s="4">
        <v>710327301.38999999</v>
      </c>
      <c r="E2" s="4">
        <v>5029289</v>
      </c>
      <c r="F2" s="5">
        <f>$C$11/C2</f>
        <v>1.6683506327804407</v>
      </c>
      <c r="G2" s="4">
        <f>D2*F2</f>
        <v>1185075002.7552292</v>
      </c>
      <c r="H2" s="4">
        <v>5029289</v>
      </c>
      <c r="I2" s="4">
        <v>1185075002.7552292</v>
      </c>
    </row>
    <row r="3" spans="1:9">
      <c r="A3">
        <v>2015</v>
      </c>
      <c r="B3" s="3">
        <v>276995</v>
      </c>
      <c r="C3" s="4">
        <v>4493.17</v>
      </c>
      <c r="D3" s="4">
        <v>743000000</v>
      </c>
      <c r="E3" s="4">
        <v>5435820</v>
      </c>
      <c r="F3" s="5">
        <f t="shared" ref="F3:F11" si="0">$C$11/C3</f>
        <v>1.5074590990325316</v>
      </c>
      <c r="G3" s="4">
        <f>D3*F3</f>
        <v>1120042110.581171</v>
      </c>
      <c r="H3" s="4">
        <v>5435820</v>
      </c>
      <c r="I3" s="4">
        <v>1120042110.581171</v>
      </c>
    </row>
    <row r="4" spans="1:9">
      <c r="A4">
        <v>2016</v>
      </c>
      <c r="B4" s="3">
        <v>278363</v>
      </c>
      <c r="C4" s="4">
        <v>4775.7</v>
      </c>
      <c r="D4" s="4">
        <v>772000000</v>
      </c>
      <c r="E4" s="4">
        <v>5663968</v>
      </c>
      <c r="F4" s="5">
        <f t="shared" si="0"/>
        <v>1.4182779487823776</v>
      </c>
      <c r="G4" s="4">
        <f>D4*F4</f>
        <v>1094910576.4599955</v>
      </c>
      <c r="H4" s="4">
        <v>5663968</v>
      </c>
      <c r="I4" s="4">
        <v>1094910576.4599955</v>
      </c>
    </row>
    <row r="5" spans="1:9">
      <c r="A5">
        <v>2017</v>
      </c>
      <c r="B5" s="3">
        <v>279665</v>
      </c>
      <c r="C5" s="4">
        <v>4916.46</v>
      </c>
      <c r="D5" s="4">
        <v>814000000</v>
      </c>
      <c r="E5" s="4">
        <v>5887859</v>
      </c>
      <c r="F5" s="5">
        <f t="shared" si="0"/>
        <v>1.3776721462190276</v>
      </c>
      <c r="G5" s="4">
        <f>D5*F5</f>
        <v>1121425127.0222883</v>
      </c>
      <c r="H5" s="4">
        <v>5887859</v>
      </c>
      <c r="I5" s="4">
        <v>1121425127.0222883</v>
      </c>
    </row>
    <row r="6" spans="1:9">
      <c r="A6">
        <v>2018</v>
      </c>
      <c r="B6" s="3">
        <v>279665</v>
      </c>
      <c r="C6" s="4">
        <v>5100.6099999999997</v>
      </c>
      <c r="D6" s="4">
        <v>824000000</v>
      </c>
      <c r="E6" s="4">
        <v>6223879</v>
      </c>
      <c r="F6" s="5">
        <f t="shared" si="0"/>
        <v>1.3279333256218375</v>
      </c>
      <c r="G6" s="4">
        <f>D6*F6</f>
        <v>1094217060.3123941</v>
      </c>
      <c r="H6" s="4">
        <v>6223879</v>
      </c>
      <c r="I6" s="4">
        <v>1094217060.3123941</v>
      </c>
    </row>
    <row r="7" spans="1:9">
      <c r="A7">
        <v>2019</v>
      </c>
      <c r="B7" s="3">
        <v>278685</v>
      </c>
      <c r="C7" s="4">
        <v>5320.25</v>
      </c>
      <c r="D7" s="4">
        <v>931296028.39999998</v>
      </c>
      <c r="E7" s="4">
        <v>6772786</v>
      </c>
      <c r="F7" s="5">
        <f t="shared" si="0"/>
        <v>1.2731112259762229</v>
      </c>
      <c r="G7" s="4">
        <f>D7*F7</f>
        <v>1185643428.4631114</v>
      </c>
      <c r="H7" s="4">
        <v>6772786</v>
      </c>
      <c r="I7" s="4">
        <v>1185643428.4631114</v>
      </c>
    </row>
    <row r="8" spans="1:9">
      <c r="A8">
        <v>2020</v>
      </c>
      <c r="B8" s="3">
        <v>279885</v>
      </c>
      <c r="C8" s="4">
        <v>5560.59</v>
      </c>
      <c r="D8" s="4">
        <v>1108011257.28</v>
      </c>
      <c r="E8" s="4">
        <v>6737553</v>
      </c>
      <c r="F8" s="5">
        <f t="shared" si="0"/>
        <v>1.2180847715799943</v>
      </c>
      <c r="G8" s="4">
        <f>D8*F8</f>
        <v>1349651639.231971</v>
      </c>
      <c r="H8" s="4">
        <v>6737553</v>
      </c>
      <c r="I8" s="4">
        <v>1349651639.231971</v>
      </c>
    </row>
    <row r="9" spans="1:9">
      <c r="A9">
        <v>2021</v>
      </c>
      <c r="B9" s="3">
        <v>281046</v>
      </c>
      <c r="C9" s="4">
        <v>6120.04</v>
      </c>
      <c r="D9" s="4">
        <v>1251484593.0799999</v>
      </c>
      <c r="E9" s="4">
        <v>7382104</v>
      </c>
      <c r="F9" s="5">
        <f t="shared" si="0"/>
        <v>1.1067362304821537</v>
      </c>
      <c r="G9" s="4">
        <f>D9*F9</f>
        <v>1385063341.0518513</v>
      </c>
      <c r="H9" s="4">
        <v>7382104</v>
      </c>
      <c r="I9" s="4">
        <v>1385063341.0518513</v>
      </c>
    </row>
    <row r="10" spans="1:9">
      <c r="A10">
        <v>2022</v>
      </c>
      <c r="B10" s="3">
        <v>282164</v>
      </c>
      <c r="C10" s="4">
        <v>6474.09</v>
      </c>
      <c r="D10" s="4">
        <v>1436931777.8699999</v>
      </c>
      <c r="E10" s="4">
        <v>8028769</v>
      </c>
      <c r="F10" s="5">
        <f t="shared" si="0"/>
        <v>1.0462119000508181</v>
      </c>
      <c r="G10" s="4">
        <f>D10*F10</f>
        <v>1503335125.5687728</v>
      </c>
      <c r="H10" s="4">
        <v>8028769</v>
      </c>
      <c r="I10" s="4">
        <v>1503335125.5687728</v>
      </c>
    </row>
    <row r="11" spans="1:9">
      <c r="A11">
        <v>2023</v>
      </c>
      <c r="B11" s="3">
        <v>282164</v>
      </c>
      <c r="C11" s="4">
        <v>6773.27</v>
      </c>
      <c r="D11" s="4">
        <v>1547441182.0999999</v>
      </c>
      <c r="E11" s="4">
        <v>8612266</v>
      </c>
      <c r="F11" s="5">
        <f t="shared" si="0"/>
        <v>1</v>
      </c>
      <c r="G11" s="4">
        <f>D11*F11</f>
        <v>1547441182.0999999</v>
      </c>
      <c r="H11" s="4">
        <v>8612266</v>
      </c>
      <c r="I11" s="4">
        <v>1547441182.0999999</v>
      </c>
    </row>
    <row r="17" spans="5:14">
      <c r="E17" s="28"/>
      <c r="F17" s="28"/>
      <c r="G17" s="28"/>
      <c r="H17" s="28"/>
      <c r="I17" s="28"/>
      <c r="J17" s="28"/>
      <c r="K17" s="28"/>
      <c r="L17" s="28"/>
      <c r="M17" s="28"/>
      <c r="N17" s="2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B37E-1890-4586-A418-B77E8F5B3E22}">
  <dimension ref="A1:J36"/>
  <sheetViews>
    <sheetView workbookViewId="0">
      <selection activeCell="A5" sqref="A5:B7"/>
    </sheetView>
  </sheetViews>
  <sheetFormatPr defaultRowHeight="15"/>
  <cols>
    <col min="1" max="1" width="39.7109375" bestFit="1" customWidth="1"/>
    <col min="2" max="2" width="21" customWidth="1"/>
    <col min="3" max="3" width="15.28515625" customWidth="1"/>
    <col min="4" max="4" width="22.28515625" bestFit="1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</row>
    <row r="2" spans="1:10">
      <c r="A2" t="s">
        <v>24</v>
      </c>
      <c r="B2" s="4">
        <v>2952757996.2600002</v>
      </c>
      <c r="C2" s="3">
        <v>450024</v>
      </c>
      <c r="D2" s="4">
        <f>B2/C2</f>
        <v>6561.334498293425</v>
      </c>
    </row>
    <row r="3" spans="1:10">
      <c r="A3" t="s">
        <v>25</v>
      </c>
      <c r="B3" s="4">
        <v>1547441182.0999999</v>
      </c>
      <c r="C3" s="3">
        <v>282164</v>
      </c>
      <c r="D3" s="4">
        <f>B3/C3</f>
        <v>5484.1906908748097</v>
      </c>
    </row>
    <row r="4" spans="1:10">
      <c r="B4" s="4"/>
      <c r="C4" s="3"/>
      <c r="D4" s="4"/>
    </row>
    <row r="5" spans="1:10">
      <c r="A5" s="2" t="s">
        <v>20</v>
      </c>
      <c r="B5" s="2" t="s">
        <v>23</v>
      </c>
      <c r="C5" s="3"/>
      <c r="D5" s="4"/>
    </row>
    <row r="6" spans="1:10">
      <c r="A6" t="s">
        <v>24</v>
      </c>
      <c r="B6" s="4">
        <v>6561.334498293425</v>
      </c>
      <c r="C6" s="3"/>
      <c r="D6" s="4"/>
    </row>
    <row r="7" spans="1:10">
      <c r="A7" t="s">
        <v>25</v>
      </c>
      <c r="B7" s="4">
        <v>5484.1906908748097</v>
      </c>
      <c r="C7" s="3"/>
      <c r="D7" s="4"/>
    </row>
    <row r="8" spans="1:10">
      <c r="B8" s="4"/>
      <c r="C8" s="3"/>
      <c r="D8" s="4"/>
    </row>
    <row r="9" spans="1:10">
      <c r="B9" s="4"/>
      <c r="C9" s="3"/>
      <c r="D9" s="4"/>
      <c r="H9" t="s">
        <v>26</v>
      </c>
      <c r="I9" t="s">
        <v>27</v>
      </c>
      <c r="J9" t="s">
        <v>28</v>
      </c>
    </row>
    <row r="10" spans="1:10">
      <c r="B10" s="4"/>
      <c r="C10" s="3"/>
      <c r="D10" s="4"/>
      <c r="H10" t="s">
        <v>29</v>
      </c>
      <c r="I10">
        <v>70</v>
      </c>
      <c r="J10">
        <v>20</v>
      </c>
    </row>
    <row r="11" spans="1:10">
      <c r="B11" s="4"/>
      <c r="C11" s="3"/>
      <c r="D11" s="4"/>
      <c r="H11" t="s">
        <v>30</v>
      </c>
      <c r="I11">
        <v>85</v>
      </c>
      <c r="J11">
        <v>55</v>
      </c>
    </row>
    <row r="12" spans="1:10">
      <c r="B12" s="4"/>
      <c r="C12" s="3"/>
      <c r="D12" s="4"/>
      <c r="H12" t="s">
        <v>31</v>
      </c>
      <c r="I12">
        <v>60</v>
      </c>
      <c r="J12">
        <v>40</v>
      </c>
    </row>
    <row r="13" spans="1:10">
      <c r="C13" s="3"/>
      <c r="H13" t="s">
        <v>32</v>
      </c>
      <c r="I13">
        <v>35</v>
      </c>
      <c r="J13">
        <v>60</v>
      </c>
    </row>
    <row r="14" spans="1:10">
      <c r="C14" s="3"/>
      <c r="H14" t="s">
        <v>33</v>
      </c>
      <c r="I14">
        <v>80</v>
      </c>
      <c r="J14">
        <v>20</v>
      </c>
    </row>
    <row r="15" spans="1:10">
      <c r="C15" s="3"/>
    </row>
    <row r="16" spans="1:10">
      <c r="C16" s="3"/>
    </row>
    <row r="17" spans="2:4">
      <c r="C17" s="3"/>
    </row>
    <row r="18" spans="2:4">
      <c r="C18" s="3"/>
    </row>
    <row r="19" spans="2:4">
      <c r="B19" s="10"/>
      <c r="C19" s="10"/>
      <c r="D19" s="10"/>
    </row>
    <row r="20" spans="2:4">
      <c r="B20" s="29"/>
      <c r="C20" s="30"/>
      <c r="D20" s="29"/>
    </row>
    <row r="21" spans="2:4">
      <c r="B21" s="21"/>
      <c r="C21" s="10"/>
      <c r="D21" s="21"/>
    </row>
    <row r="22" spans="2:4">
      <c r="B22" s="21"/>
      <c r="C22" s="10"/>
      <c r="D22" s="21"/>
    </row>
    <row r="23" spans="2:4">
      <c r="B23" s="21"/>
      <c r="C23" s="10"/>
      <c r="D23" s="21"/>
    </row>
    <row r="24" spans="2:4">
      <c r="B24" s="21"/>
      <c r="C24" s="10"/>
      <c r="D24" s="21"/>
    </row>
    <row r="25" spans="2:4">
      <c r="B25" s="21"/>
      <c r="C25" s="10"/>
      <c r="D25" s="21"/>
    </row>
    <row r="26" spans="2:4">
      <c r="B26" s="21"/>
      <c r="C26" s="10"/>
      <c r="D26" s="21"/>
    </row>
    <row r="27" spans="2:4">
      <c r="B27" s="21"/>
      <c r="C27" s="10"/>
      <c r="D27" s="21"/>
    </row>
    <row r="28" spans="2:4">
      <c r="B28" s="21"/>
      <c r="C28" s="10"/>
      <c r="D28" s="21"/>
    </row>
    <row r="29" spans="2:4">
      <c r="B29" s="21"/>
      <c r="C29" s="10"/>
      <c r="D29" s="21"/>
    </row>
    <row r="30" spans="2:4">
      <c r="B30" s="21"/>
      <c r="C30" s="10"/>
      <c r="D30" s="21"/>
    </row>
    <row r="31" spans="2:4">
      <c r="B31" s="21"/>
      <c r="C31" s="10"/>
      <c r="D31" s="21"/>
    </row>
    <row r="32" spans="2:4">
      <c r="B32" s="21"/>
      <c r="C32" s="10"/>
      <c r="D32" s="21"/>
    </row>
    <row r="33" spans="2:4">
      <c r="B33" s="21"/>
      <c r="C33" s="10"/>
      <c r="D33" s="21"/>
    </row>
    <row r="34" spans="2:4">
      <c r="B34" s="21"/>
      <c r="C34" s="10"/>
      <c r="D34" s="21"/>
    </row>
    <row r="35" spans="2:4">
      <c r="B35" s="21"/>
      <c r="C35" s="14"/>
      <c r="D35" s="21"/>
    </row>
    <row r="36" spans="2:4">
      <c r="B36" s="24"/>
      <c r="D36" s="24"/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FCBCC74-9416-4366-B55D-D772DC2F6599}">
          <xm:f>'QUESTAO 8'!A5:B7</xm:f>
        </x15:webExtension>
      </x15:webExtens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64A6-73EB-4209-8F98-618E33BAC3C5}">
  <dimension ref="B20:C22"/>
  <sheetViews>
    <sheetView showGridLines="0" workbookViewId="0">
      <selection activeCell="AM29" sqref="AM29"/>
    </sheetView>
  </sheetViews>
  <sheetFormatPr defaultRowHeight="15"/>
  <sheetData>
    <row r="20" spans="2:3">
      <c r="B20" s="2" t="s">
        <v>20</v>
      </c>
      <c r="C20" s="2" t="s">
        <v>23</v>
      </c>
    </row>
    <row r="21" spans="2:3">
      <c r="B21" t="s">
        <v>24</v>
      </c>
      <c r="C21" s="4">
        <v>6561.334498293425</v>
      </c>
    </row>
    <row r="22" spans="2:3">
      <c r="B22" t="s">
        <v>25</v>
      </c>
      <c r="C22" s="4">
        <v>5484.1906908748097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5835088-3D11-4058-BAC4-E5DEDFE2A538}">
          <xm:f>DASHBORD!B20:C22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2026-05-03T19:13:01Z</dcterms:created>
  <dcterms:modified xsi:type="dcterms:W3CDTF">2026-05-04T01:34:29Z</dcterms:modified>
  <cp:category/>
  <cp:contentStatus/>
</cp:coreProperties>
</file>