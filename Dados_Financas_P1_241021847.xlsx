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89C1AB9F-CCCF-4AD0-8281-81F8D22FCE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donésia (Macro)" sheetId="1" r:id="rId1"/>
    <sheet name="Betim-MG (Micro 1)" sheetId="2" r:id="rId2"/>
    <sheet name="Volta Redonda-RJ (Micro 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3" i="1"/>
  <c r="I4" i="1"/>
  <c r="I5" i="1"/>
  <c r="I6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H2" i="1"/>
  <c r="I2" i="1"/>
  <c r="G2" i="1"/>
  <c r="F11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<sst xmlns="http://schemas.openxmlformats.org/spreadsheetml/2006/main" count="9" uniqueCount="9">
  <si>
    <t xml:space="preserve">Ano </t>
  </si>
  <si>
    <t>PIB Nominal (Rúpia Indonésia - IDR)</t>
  </si>
  <si>
    <t>Índice de Inflação (CPI - Consumer Price Index)</t>
  </si>
  <si>
    <t>Receita Total (Nominal)</t>
  </si>
  <si>
    <t>Despesa Total (Nominal)</t>
  </si>
  <si>
    <t>Fator de Deflação</t>
  </si>
  <si>
    <t>PIB Real</t>
  </si>
  <si>
    <t>Receita Total Real</t>
  </si>
  <si>
    <t>Despesa Total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</si>
</sst>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8" sqref="I8"/>
    </sheetView>
  </sheetViews>
  <sheetFormatPr defaultRowHeight="15"/>
  <cols>
    <col min="1" max="1" width="5.42578125" bestFit="1" customWidth="1"/>
    <col min="2" max="2" width="33.7109375" bestFit="1" customWidth="1"/>
    <col min="3" max="3" width="44.85546875" bestFit="1" customWidth="1"/>
    <col min="4" max="4" width="24.5703125" bestFit="1" customWidth="1"/>
    <col min="5" max="5" width="25" bestFit="1" customWidth="1"/>
    <col min="6" max="6" width="16.85546875" bestFit="1" customWidth="1"/>
    <col min="7" max="7" width="20.42578125" bestFit="1" customWidth="1"/>
    <col min="8" max="8" width="17.425781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 s="2">
        <v>890814755533.53687</v>
      </c>
      <c r="C2">
        <v>124.3861499940403</v>
      </c>
      <c r="D2" s="2">
        <v>1750366.09</v>
      </c>
      <c r="E2" s="2">
        <v>1941100.6</v>
      </c>
      <c r="F2" s="2">
        <f>$C$11/C2</f>
        <v>1.3591024422803484</v>
      </c>
      <c r="G2" s="2">
        <f>B2*F2</f>
        <v>1210708509865.0015</v>
      </c>
      <c r="H2" s="2">
        <f>D2*F2</f>
        <v>2378926.827803704</v>
      </c>
      <c r="I2" s="2">
        <f>E2*F2</f>
        <v>2638154.5661718496</v>
      </c>
    </row>
    <row r="3" spans="1:9">
      <c r="A3">
        <v>2015</v>
      </c>
      <c r="B3" s="2">
        <v>860854232686.21387</v>
      </c>
      <c r="C3">
        <v>132.30099074274261</v>
      </c>
      <c r="D3" s="2">
        <v>1714915.49</v>
      </c>
      <c r="E3" s="2">
        <v>2028883.753</v>
      </c>
      <c r="F3" s="2">
        <f t="shared" ref="F3:F10" si="0">$C$11/C3</f>
        <v>1.2777948169070936</v>
      </c>
      <c r="G3" s="2">
        <f t="shared" ref="G3:G11" si="1">B3*F3</f>
        <v>1099995076638.9773</v>
      </c>
      <c r="H3" s="2">
        <f t="shared" ref="H3:H11" si="2">D3*F3</f>
        <v>2191310.1245556888</v>
      </c>
      <c r="I3" s="2">
        <f t="shared" ref="I3:I11" si="3">E3*F3</f>
        <v>2592497.1436904119</v>
      </c>
    </row>
    <row r="4" spans="1:9">
      <c r="A4">
        <v>2016</v>
      </c>
      <c r="B4" s="2">
        <v>931877364037.69751</v>
      </c>
      <c r="C4">
        <v>136.9656650651435</v>
      </c>
      <c r="D4" s="2">
        <v>1780829.96</v>
      </c>
      <c r="E4" s="2">
        <v>2098433.66</v>
      </c>
      <c r="F4" s="2">
        <f t="shared" si="0"/>
        <v>1.2342766354059962</v>
      </c>
      <c r="G4" s="2">
        <f t="shared" si="1"/>
        <v>1150194457495.458</v>
      </c>
      <c r="H4" s="2">
        <f t="shared" si="2"/>
        <v>2198036.8112589945</v>
      </c>
      <c r="I4" s="2">
        <f t="shared" si="3"/>
        <v>2590047.6374874902</v>
      </c>
    </row>
    <row r="5" spans="1:9">
      <c r="A5">
        <v>2017</v>
      </c>
      <c r="B5" s="2">
        <v>1015618744159.7339</v>
      </c>
      <c r="C5">
        <v>142.182411367013</v>
      </c>
      <c r="D5" s="2">
        <v>1926989.32</v>
      </c>
      <c r="E5" s="2">
        <v>2234659.67</v>
      </c>
      <c r="F5" s="2">
        <f t="shared" si="0"/>
        <v>1.1889903864858149</v>
      </c>
      <c r="G5" s="2">
        <f t="shared" si="1"/>
        <v>1207560923140.72</v>
      </c>
      <c r="H5" s="2">
        <f t="shared" si="2"/>
        <v>2291171.7763408376</v>
      </c>
      <c r="I5" s="2">
        <f t="shared" si="3"/>
        <v>2656988.8646975635</v>
      </c>
    </row>
    <row r="6" spans="1:9">
      <c r="A6">
        <v>2018</v>
      </c>
      <c r="B6" s="2">
        <v>1042271532988.6317</v>
      </c>
      <c r="C6">
        <v>146.72989905065259</v>
      </c>
      <c r="D6" s="2">
        <v>2214097.08</v>
      </c>
      <c r="E6" s="2">
        <v>2464880.875</v>
      </c>
      <c r="F6" s="2">
        <f t="shared" si="0"/>
        <v>1.1521409156315918</v>
      </c>
      <c r="G6" s="2">
        <f t="shared" si="1"/>
        <v>1200843678354.2649</v>
      </c>
      <c r="H6" s="2">
        <f t="shared" si="2"/>
        <v>2550951.8370484337</v>
      </c>
      <c r="I6" s="2">
        <f t="shared" si="3"/>
        <v>2839890.1082452992</v>
      </c>
    </row>
    <row r="7" spans="1:9">
      <c r="A7">
        <v>2019</v>
      </c>
      <c r="B7" s="2">
        <v>1119099871350.1992</v>
      </c>
      <c r="C7">
        <v>151.17667278869419</v>
      </c>
      <c r="D7" s="2">
        <v>2259030.0099999998</v>
      </c>
      <c r="E7" s="2">
        <v>2590031.3640000001</v>
      </c>
      <c r="F7" s="2">
        <f t="shared" si="0"/>
        <v>1.1182513619613981</v>
      </c>
      <c r="G7" s="2">
        <f t="shared" si="1"/>
        <v>1251434955308.1855</v>
      </c>
      <c r="H7" s="2">
        <f t="shared" si="2"/>
        <v>2526163.3853941704</v>
      </c>
      <c r="I7" s="2">
        <f>E7*F7</f>
        <v>2896306.1003157375</v>
      </c>
    </row>
    <row r="8" spans="1:9">
      <c r="A8">
        <v>2020</v>
      </c>
      <c r="B8" s="2">
        <v>1059054842698.4821</v>
      </c>
      <c r="C8">
        <v>154.0790158769978</v>
      </c>
      <c r="D8" s="2">
        <v>1907538.44</v>
      </c>
      <c r="E8" s="2">
        <v>2845700.423</v>
      </c>
      <c r="F8" s="2">
        <f t="shared" si="0"/>
        <v>1.0971871755574187</v>
      </c>
      <c r="G8" s="2">
        <f t="shared" si="1"/>
        <v>1161981391620.7539</v>
      </c>
      <c r="H8" s="2">
        <f t="shared" si="2"/>
        <v>2092926.7132508047</v>
      </c>
      <c r="I8" s="2">
        <f t="shared" si="3"/>
        <v>3122266.0095939217</v>
      </c>
    </row>
    <row r="9" spans="1:9">
      <c r="A9">
        <v>2021</v>
      </c>
      <c r="B9" s="2">
        <v>1186509691086.7307</v>
      </c>
      <c r="C9">
        <v>156.48276998491039</v>
      </c>
      <c r="D9" s="2">
        <v>2329015.33</v>
      </c>
      <c r="E9" s="2">
        <v>3076816.1189999999</v>
      </c>
      <c r="F9" s="2">
        <f t="shared" si="0"/>
        <v>1.0803331271490892</v>
      </c>
      <c r="G9" s="2">
        <f t="shared" si="1"/>
        <v>1281825724964.4277</v>
      </c>
      <c r="H9" s="2">
        <f t="shared" si="2"/>
        <v>2516112.4146370683</v>
      </c>
      <c r="I9" s="2">
        <f t="shared" si="3"/>
        <v>3323986.3795019942</v>
      </c>
    </row>
    <row r="10" spans="1:9">
      <c r="A10">
        <v>2022</v>
      </c>
      <c r="B10" s="2">
        <v>1319101183380.1516</v>
      </c>
      <c r="C10">
        <v>163.06985685065459</v>
      </c>
      <c r="D10" s="2">
        <v>2971534.31</v>
      </c>
      <c r="E10" s="2">
        <v>3400751.48</v>
      </c>
      <c r="F10" s="2">
        <f t="shared" si="0"/>
        <v>1.0366938654859761</v>
      </c>
      <c r="G10" s="2">
        <f t="shared" si="1"/>
        <v>1367504104765.4949</v>
      </c>
      <c r="H10" s="2">
        <f t="shared" si="2"/>
        <v>3080571.3902581027</v>
      </c>
      <c r="I10" s="2">
        <f t="shared" si="3"/>
        <v>3525538.197358354</v>
      </c>
    </row>
    <row r="11" spans="1:9">
      <c r="A11">
        <v>2023</v>
      </c>
      <c r="B11" s="2">
        <v>1371169301563.6216</v>
      </c>
      <c r="C11">
        <v>169.0535202427499</v>
      </c>
      <c r="D11" s="2">
        <v>3131113.963</v>
      </c>
      <c r="E11" s="2">
        <v>3475717.8229999999</v>
      </c>
      <c r="F11" s="2">
        <f>$C$11/C11</f>
        <v>1</v>
      </c>
      <c r="G11" s="2">
        <f t="shared" si="1"/>
        <v>1371169301563.6216</v>
      </c>
      <c r="H11" s="2">
        <f t="shared" si="2"/>
        <v>3131113.963</v>
      </c>
      <c r="I11" s="2">
        <f t="shared" si="3"/>
        <v>3475717.8229999999</v>
      </c>
    </row>
    <row r="12" spans="1:9">
      <c r="G12" s="2"/>
      <c r="H12" s="2"/>
    </row>
    <row r="13" spans="1:9">
      <c r="G13" s="2"/>
      <c r="H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999-C755-43E1-90FD-5713781331E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6FA1-E67E-43E5-9274-07EE57CC8201}">
  <dimension ref="A1"/>
  <sheetViews>
    <sheetView workbookViewId="0">
      <selection activeCell="I13" sqref="I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2026-05-02T22:04:38Z</dcterms:created>
  <dcterms:modified xsi:type="dcterms:W3CDTF">2026-05-02T23:42:28Z</dcterms:modified>
  <cp:category/>
  <cp:contentStatus/>
</cp:coreProperties>
</file>