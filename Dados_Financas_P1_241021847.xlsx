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0" documentId="8_{2950CAAD-0730-493E-AE53-29824A442107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Indonésia (Macro)" sheetId="1" r:id="rId1"/>
    <sheet name="Betim-MG (Micro 1)" sheetId="2" r:id="rId2"/>
    <sheet name="Gov. Valadares-MG (Micro 2)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G3" i="3"/>
  <c r="G4" i="3"/>
  <c r="G5" i="3"/>
  <c r="G6" i="3"/>
  <c r="G7" i="3"/>
  <c r="G8" i="3"/>
  <c r="G9" i="3"/>
  <c r="G10" i="3"/>
  <c r="G11" i="3"/>
  <c r="H2" i="3"/>
  <c r="H2" i="2"/>
  <c r="G2" i="3"/>
  <c r="G2" i="2"/>
  <c r="F3" i="3"/>
  <c r="F4" i="3"/>
  <c r="F5" i="3"/>
  <c r="F6" i="3"/>
  <c r="F7" i="3"/>
  <c r="F8" i="3"/>
  <c r="F9" i="3"/>
  <c r="F10" i="3"/>
  <c r="F11" i="3"/>
  <c r="F2" i="3"/>
  <c r="F2" i="2"/>
  <c r="F3" i="2"/>
  <c r="F4" i="2"/>
  <c r="F5" i="2"/>
  <c r="F6" i="2"/>
  <c r="F7" i="2"/>
  <c r="F8" i="2"/>
  <c r="F9" i="2"/>
  <c r="F10" i="2"/>
  <c r="F11" i="2"/>
  <c r="H3" i="2"/>
  <c r="H4" i="2"/>
  <c r="H5" i="2"/>
  <c r="H6" i="2"/>
  <c r="H7" i="2"/>
  <c r="H8" i="2"/>
  <c r="H9" i="2"/>
  <c r="H10" i="2"/>
  <c r="H11" i="2"/>
  <c r="G3" i="2"/>
  <c r="G4" i="2"/>
  <c r="G5" i="2"/>
  <c r="G6" i="2"/>
  <c r="G7" i="2"/>
  <c r="G8" i="2"/>
  <c r="G9" i="2"/>
  <c r="G10" i="2"/>
  <c r="G11" i="2"/>
  <c r="F2" i="1"/>
  <c r="H2" i="1"/>
  <c r="I2" i="1"/>
  <c r="G2" i="1"/>
  <c r="F11" i="1"/>
  <c r="F3" i="1"/>
  <c r="F4" i="1"/>
  <c r="F5" i="1"/>
  <c r="F6" i="1"/>
  <c r="F7" i="1"/>
  <c r="F8" i="1"/>
  <c r="F9" i="1"/>
  <c r="F10" i="1"/>
  <c r="I10" i="1" l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" i="1"/>
  <c r="H4" i="1"/>
  <c r="G4" i="1"/>
  <c r="I3" i="1"/>
  <c r="H3" i="1"/>
  <c r="G3" i="1"/>
  <c r="I11" i="1"/>
  <c r="H11" i="1"/>
  <c r="G11" i="1"/>
  <c r="K2" i="2"/>
</calcChain>
</file>

<file path=xl/sharedStrings.xml><?xml version="1.0" encoding="utf-8"?>
<sst xmlns="http://schemas.openxmlformats.org/spreadsheetml/2006/main" count="27" uniqueCount="18">
  <si>
    <t xml:space="preserve">Ano </t>
  </si>
  <si>
    <t>PIB Nominal (Rúpia Indonésia - IDR)</t>
  </si>
  <si>
    <t>Índice de Inflação (CPI - Consumer Price Index)</t>
  </si>
  <si>
    <t>Receita Total (Nominal)</t>
  </si>
  <si>
    <t>Despesa Total (Nominal)</t>
  </si>
  <si>
    <t>Fator de Deflação</t>
  </si>
  <si>
    <t>PIB Real</t>
  </si>
  <si>
    <t>Receita Total Real</t>
  </si>
  <si>
    <t>Despesa Total Real</t>
  </si>
  <si>
    <t>QUESTAO 2</t>
  </si>
  <si>
    <t>Ano</t>
  </si>
  <si>
    <t>População</t>
  </si>
  <si>
    <t xml:space="preserve">IPCA </t>
  </si>
  <si>
    <t>Receita Total Nominal (R$)</t>
  </si>
  <si>
    <t>Despesa Total Nominal (R$)</t>
  </si>
  <si>
    <t>Receita Total Real (R$)</t>
  </si>
  <si>
    <t>Despesa Total Real (R$)</t>
  </si>
  <si>
    <t>CORRELAÇÃO RECETA/DESPESA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</si>
</sst>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4" fontId="0" fillId="0" borderId="0" xfId="0" applyNumberFormat="1"/>
    <xf numFmtId="0" fontId="2" fillId="0" borderId="0" xfId="0" applyFont="1"/>
    <xf numFmtId="3" fontId="0" fillId="0" borderId="0" xfId="0" applyNumberFormat="1"/>
    <xf numFmtId="16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da Receita e Despesa Total Real - Indonésia (2014-2023)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'Indonésia (Macro)'!$H$1</c:f>
              <c:strCache>
                <c:ptCount val="1"/>
                <c:pt idx="0">
                  <c:v>Receita Total 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'Indonésia (Macro)'!$H$2:$H$11</c:f>
              <c:numCache>
                <c:formatCode>#,##0.00</c:formatCode>
                <c:ptCount val="10"/>
                <c:pt idx="0">
                  <c:v>2378926.827803704</c:v>
                </c:pt>
                <c:pt idx="1">
                  <c:v>2191310.1245556888</c:v>
                </c:pt>
                <c:pt idx="2">
                  <c:v>2198036.8112589945</c:v>
                </c:pt>
                <c:pt idx="3">
                  <c:v>2291171.7763408376</c:v>
                </c:pt>
                <c:pt idx="4">
                  <c:v>2550951.8370484337</c:v>
                </c:pt>
                <c:pt idx="5">
                  <c:v>2526163.3853941704</c:v>
                </c:pt>
                <c:pt idx="6">
                  <c:v>2092926.7132508047</c:v>
                </c:pt>
                <c:pt idx="7">
                  <c:v>2516112.4146370683</c:v>
                </c:pt>
                <c:pt idx="8">
                  <c:v>3080571.3902581027</c:v>
                </c:pt>
                <c:pt idx="9">
                  <c:v>3131113.963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B9-4A9D-AE03-9B05E52C0E06}"/>
            </c:ext>
          </c:extLst>
        </c:ser>
        <c:ser>
          <c:idx val="2"/>
          <c:order val="1"/>
          <c:tx>
            <c:strRef>
              <c:f>'Indonésia (Macro)'!$I$1</c:f>
              <c:strCache>
                <c:ptCount val="1"/>
                <c:pt idx="0">
                  <c:v>Despesa Total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'Indonésia (Macro)'!$I$2:$I$11</c:f>
              <c:numCache>
                <c:formatCode>#,##0.00</c:formatCode>
                <c:ptCount val="10"/>
                <c:pt idx="0">
                  <c:v>2638154.5661718496</c:v>
                </c:pt>
                <c:pt idx="1">
                  <c:v>2592497.1436904119</c:v>
                </c:pt>
                <c:pt idx="2">
                  <c:v>2590047.6374874902</c:v>
                </c:pt>
                <c:pt idx="3">
                  <c:v>2656988.8646975635</c:v>
                </c:pt>
                <c:pt idx="4">
                  <c:v>2839890.1082452992</c:v>
                </c:pt>
                <c:pt idx="5">
                  <c:v>2896306.1003157375</c:v>
                </c:pt>
                <c:pt idx="6">
                  <c:v>3122266.0095939217</c:v>
                </c:pt>
                <c:pt idx="7">
                  <c:v>3323986.3795019942</c:v>
                </c:pt>
                <c:pt idx="8">
                  <c:v>3525538.197358354</c:v>
                </c:pt>
                <c:pt idx="9">
                  <c:v>3475717.8229999999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B9-4A9D-AE03-9B05E52C0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858504"/>
        <c:axId val="1246631944"/>
      </c:lineChart>
      <c:catAx>
        <c:axId val="1234858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6631944"/>
        <c:crosses val="autoZero"/>
        <c:auto val="1"/>
        <c:lblAlgn val="ctr"/>
        <c:lblOffset val="100"/>
        <c:noMultiLvlLbl val="0"/>
      </c:catAx>
      <c:valAx>
        <c:axId val="1246631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858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20</xdr:row>
      <xdr:rowOff>9525</xdr:rowOff>
    </xdr:from>
    <xdr:to>
      <xdr:col>2</xdr:col>
      <xdr:colOff>2647950</xdr:colOff>
      <xdr:row>36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EE6121-5FBE-7F28-AFF3-627BC2F70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7" workbookViewId="0">
      <selection activeCell="A20" sqref="A20:C20"/>
    </sheetView>
  </sheetViews>
  <sheetFormatPr defaultRowHeight="15"/>
  <cols>
    <col min="1" max="1" width="5.42578125" bestFit="1" customWidth="1"/>
    <col min="2" max="2" width="33.7109375" bestFit="1" customWidth="1"/>
    <col min="3" max="3" width="44.85546875" bestFit="1" customWidth="1"/>
    <col min="4" max="4" width="24.5703125" bestFit="1" customWidth="1"/>
    <col min="5" max="5" width="25" bestFit="1" customWidth="1"/>
    <col min="6" max="6" width="16.85546875" bestFit="1" customWidth="1"/>
    <col min="7" max="7" width="20.42578125" bestFit="1" customWidth="1"/>
    <col min="8" max="8" width="17.425781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2014</v>
      </c>
      <c r="B2" s="2">
        <v>890814755533.53687</v>
      </c>
      <c r="C2">
        <v>124.3861499940403</v>
      </c>
      <c r="D2" s="2">
        <v>1750366.09</v>
      </c>
      <c r="E2" s="2">
        <v>1941100.6</v>
      </c>
      <c r="F2" s="2">
        <f>$C$11/C2</f>
        <v>1.3591024422803484</v>
      </c>
      <c r="G2" s="2">
        <f>B2*F2</f>
        <v>1210708509865.0015</v>
      </c>
      <c r="H2" s="2">
        <f>D2*F2</f>
        <v>2378926.827803704</v>
      </c>
      <c r="I2" s="2">
        <f>E2*F2</f>
        <v>2638154.5661718496</v>
      </c>
    </row>
    <row r="3" spans="1:9">
      <c r="A3">
        <v>2015</v>
      </c>
      <c r="B3" s="2">
        <v>860854232686.21387</v>
      </c>
      <c r="C3">
        <v>132.30099074274261</v>
      </c>
      <c r="D3" s="2">
        <v>1714915.49</v>
      </c>
      <c r="E3" s="2">
        <v>2028883.753</v>
      </c>
      <c r="F3" s="2">
        <f t="shared" ref="F3:F10" si="0">$C$11/C3</f>
        <v>1.2777948169070936</v>
      </c>
      <c r="G3" s="2">
        <f t="shared" ref="G3:G11" si="1">B3*F3</f>
        <v>1099995076638.9773</v>
      </c>
      <c r="H3" s="2">
        <f t="shared" ref="H3:H11" si="2">D3*F3</f>
        <v>2191310.1245556888</v>
      </c>
      <c r="I3" s="2">
        <f t="shared" ref="I3:I11" si="3">E3*F3</f>
        <v>2592497.1436904119</v>
      </c>
    </row>
    <row r="4" spans="1:9">
      <c r="A4">
        <v>2016</v>
      </c>
      <c r="B4" s="2">
        <v>931877364037.69751</v>
      </c>
      <c r="C4">
        <v>136.9656650651435</v>
      </c>
      <c r="D4" s="2">
        <v>1780829.96</v>
      </c>
      <c r="E4" s="2">
        <v>2098433.66</v>
      </c>
      <c r="F4" s="2">
        <f t="shared" si="0"/>
        <v>1.2342766354059962</v>
      </c>
      <c r="G4" s="2">
        <f t="shared" si="1"/>
        <v>1150194457495.458</v>
      </c>
      <c r="H4" s="2">
        <f t="shared" si="2"/>
        <v>2198036.8112589945</v>
      </c>
      <c r="I4" s="2">
        <f t="shared" si="3"/>
        <v>2590047.6374874902</v>
      </c>
    </row>
    <row r="5" spans="1:9">
      <c r="A5">
        <v>2017</v>
      </c>
      <c r="B5" s="2">
        <v>1015618744159.7339</v>
      </c>
      <c r="C5">
        <v>142.182411367013</v>
      </c>
      <c r="D5" s="2">
        <v>1926989.32</v>
      </c>
      <c r="E5" s="2">
        <v>2234659.67</v>
      </c>
      <c r="F5" s="2">
        <f t="shared" si="0"/>
        <v>1.1889903864858149</v>
      </c>
      <c r="G5" s="2">
        <f t="shared" si="1"/>
        <v>1207560923140.72</v>
      </c>
      <c r="H5" s="2">
        <f t="shared" si="2"/>
        <v>2291171.7763408376</v>
      </c>
      <c r="I5" s="2">
        <f t="shared" si="3"/>
        <v>2656988.8646975635</v>
      </c>
    </row>
    <row r="6" spans="1:9">
      <c r="A6">
        <v>2018</v>
      </c>
      <c r="B6" s="2">
        <v>1042271532988.6317</v>
      </c>
      <c r="C6">
        <v>146.72989905065259</v>
      </c>
      <c r="D6" s="2">
        <v>2214097.08</v>
      </c>
      <c r="E6" s="2">
        <v>2464880.875</v>
      </c>
      <c r="F6" s="2">
        <f t="shared" si="0"/>
        <v>1.1521409156315918</v>
      </c>
      <c r="G6" s="2">
        <f t="shared" si="1"/>
        <v>1200843678354.2649</v>
      </c>
      <c r="H6" s="2">
        <f t="shared" si="2"/>
        <v>2550951.8370484337</v>
      </c>
      <c r="I6" s="2">
        <f t="shared" si="3"/>
        <v>2839890.1082452992</v>
      </c>
    </row>
    <row r="7" spans="1:9">
      <c r="A7">
        <v>2019</v>
      </c>
      <c r="B7" s="2">
        <v>1119099871350.1992</v>
      </c>
      <c r="C7">
        <v>151.17667278869419</v>
      </c>
      <c r="D7" s="2">
        <v>2259030.0099999998</v>
      </c>
      <c r="E7" s="2">
        <v>2590031.3640000001</v>
      </c>
      <c r="F7" s="2">
        <f t="shared" si="0"/>
        <v>1.1182513619613981</v>
      </c>
      <c r="G7" s="2">
        <f t="shared" si="1"/>
        <v>1251434955308.1855</v>
      </c>
      <c r="H7" s="2">
        <f t="shared" si="2"/>
        <v>2526163.3853941704</v>
      </c>
      <c r="I7" s="2">
        <f>E7*F7</f>
        <v>2896306.1003157375</v>
      </c>
    </row>
    <row r="8" spans="1:9">
      <c r="A8">
        <v>2020</v>
      </c>
      <c r="B8" s="2">
        <v>1059054842698.4821</v>
      </c>
      <c r="C8">
        <v>154.0790158769978</v>
      </c>
      <c r="D8" s="2">
        <v>1907538.44</v>
      </c>
      <c r="E8" s="2">
        <v>2845700.423</v>
      </c>
      <c r="F8" s="2">
        <f t="shared" si="0"/>
        <v>1.0971871755574187</v>
      </c>
      <c r="G8" s="2">
        <f t="shared" si="1"/>
        <v>1161981391620.7539</v>
      </c>
      <c r="H8" s="2">
        <f t="shared" si="2"/>
        <v>2092926.7132508047</v>
      </c>
      <c r="I8" s="2">
        <f t="shared" si="3"/>
        <v>3122266.0095939217</v>
      </c>
    </row>
    <row r="9" spans="1:9">
      <c r="A9">
        <v>2021</v>
      </c>
      <c r="B9" s="2">
        <v>1186509691086.7307</v>
      </c>
      <c r="C9">
        <v>156.48276998491039</v>
      </c>
      <c r="D9" s="2">
        <v>2329015.33</v>
      </c>
      <c r="E9" s="2">
        <v>3076816.1189999999</v>
      </c>
      <c r="F9" s="2">
        <f t="shared" si="0"/>
        <v>1.0803331271490892</v>
      </c>
      <c r="G9" s="2">
        <f t="shared" si="1"/>
        <v>1281825724964.4277</v>
      </c>
      <c r="H9" s="2">
        <f t="shared" si="2"/>
        <v>2516112.4146370683</v>
      </c>
      <c r="I9" s="2">
        <f t="shared" si="3"/>
        <v>3323986.3795019942</v>
      </c>
    </row>
    <row r="10" spans="1:9">
      <c r="A10">
        <v>2022</v>
      </c>
      <c r="B10" s="2">
        <v>1319101183380.1516</v>
      </c>
      <c r="C10">
        <v>163.06985685065459</v>
      </c>
      <c r="D10" s="2">
        <v>2971534.31</v>
      </c>
      <c r="E10" s="2">
        <v>3400751.48</v>
      </c>
      <c r="F10" s="2">
        <f t="shared" si="0"/>
        <v>1.0366938654859761</v>
      </c>
      <c r="G10" s="2">
        <f t="shared" si="1"/>
        <v>1367504104765.4949</v>
      </c>
      <c r="H10" s="2">
        <f t="shared" si="2"/>
        <v>3080571.3902581027</v>
      </c>
      <c r="I10" s="2">
        <f t="shared" si="3"/>
        <v>3525538.197358354</v>
      </c>
    </row>
    <row r="11" spans="1:9">
      <c r="A11">
        <v>2023</v>
      </c>
      <c r="B11" s="2">
        <v>1371169301563.6216</v>
      </c>
      <c r="C11">
        <v>169.0535202427499</v>
      </c>
      <c r="D11" s="2">
        <v>3131113.963</v>
      </c>
      <c r="E11" s="2">
        <v>3475717.8229999999</v>
      </c>
      <c r="F11" s="2">
        <f>$C$11/C11</f>
        <v>1</v>
      </c>
      <c r="G11" s="2">
        <f t="shared" si="1"/>
        <v>1371169301563.6216</v>
      </c>
      <c r="H11" s="2">
        <f t="shared" si="2"/>
        <v>3131113.963</v>
      </c>
      <c r="I11" s="2">
        <f t="shared" si="3"/>
        <v>3475717.8229999999</v>
      </c>
    </row>
    <row r="12" spans="1:9">
      <c r="G12" s="2"/>
      <c r="H12" s="2"/>
    </row>
    <row r="13" spans="1:9">
      <c r="G13" s="2"/>
      <c r="H13" s="2"/>
    </row>
    <row r="20" spans="1:3">
      <c r="A20" s="11" t="s">
        <v>9</v>
      </c>
      <c r="B20" s="12"/>
      <c r="C20" s="13"/>
    </row>
    <row r="21" spans="1:3">
      <c r="A21" s="6"/>
      <c r="C21" s="7"/>
    </row>
    <row r="22" spans="1:3">
      <c r="A22" s="6"/>
      <c r="C22" s="7"/>
    </row>
    <row r="23" spans="1:3">
      <c r="A23" s="6"/>
      <c r="C23" s="7"/>
    </row>
    <row r="24" spans="1:3">
      <c r="A24" s="6"/>
      <c r="C24" s="7"/>
    </row>
    <row r="25" spans="1:3">
      <c r="A25" s="6"/>
      <c r="C25" s="7"/>
    </row>
    <row r="26" spans="1:3">
      <c r="A26" s="6"/>
      <c r="C26" s="7"/>
    </row>
    <row r="27" spans="1:3">
      <c r="A27" s="6"/>
      <c r="C27" s="7"/>
    </row>
    <row r="28" spans="1:3">
      <c r="A28" s="6"/>
      <c r="C28" s="7"/>
    </row>
    <row r="29" spans="1:3">
      <c r="A29" s="6"/>
      <c r="C29" s="7"/>
    </row>
    <row r="30" spans="1:3">
      <c r="A30" s="6"/>
      <c r="C30" s="7"/>
    </row>
    <row r="31" spans="1:3">
      <c r="A31" s="6"/>
      <c r="C31" s="7"/>
    </row>
    <row r="32" spans="1:3">
      <c r="A32" s="6"/>
      <c r="C32" s="7"/>
    </row>
    <row r="33" spans="1:3">
      <c r="A33" s="6"/>
      <c r="C33" s="7"/>
    </row>
    <row r="34" spans="1:3">
      <c r="A34" s="6"/>
      <c r="C34" s="7"/>
    </row>
    <row r="35" spans="1:3">
      <c r="A35" s="6"/>
      <c r="C35" s="7"/>
    </row>
    <row r="36" spans="1:3">
      <c r="A36" s="6"/>
      <c r="C36" s="7"/>
    </row>
    <row r="37" spans="1:3">
      <c r="A37" s="6"/>
      <c r="C37" s="7"/>
    </row>
    <row r="38" spans="1:3">
      <c r="A38" s="8"/>
      <c r="B38" s="9"/>
      <c r="C38" s="10"/>
    </row>
  </sheetData>
  <mergeCells count="1">
    <mergeCell ref="A20:C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1999-C755-43E1-90FD-5713781331ED}">
  <dimension ref="A1:K22"/>
  <sheetViews>
    <sheetView tabSelected="1" workbookViewId="0">
      <selection activeCell="K1" sqref="K1"/>
    </sheetView>
  </sheetViews>
  <sheetFormatPr defaultRowHeight="15"/>
  <cols>
    <col min="1" max="1" width="5.42578125" bestFit="1" customWidth="1"/>
    <col min="2" max="2" width="10.42578125" bestFit="1" customWidth="1"/>
    <col min="3" max="3" width="8.7109375" bestFit="1" customWidth="1"/>
    <col min="4" max="4" width="25.28515625" bestFit="1" customWidth="1"/>
    <col min="5" max="5" width="26.28515625" bestFit="1" customWidth="1"/>
    <col min="6" max="6" width="16.85546875" bestFit="1" customWidth="1"/>
    <col min="7" max="7" width="21.7109375" bestFit="1" customWidth="1"/>
    <col min="8" max="8" width="22.42578125" bestFit="1" customWidth="1"/>
    <col min="11" max="11" width="29.5703125" bestFit="1" customWidth="1"/>
  </cols>
  <sheetData>
    <row r="1" spans="1:11">
      <c r="A1" s="3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5</v>
      </c>
      <c r="G1" s="1" t="s">
        <v>15</v>
      </c>
      <c r="H1" s="1" t="s">
        <v>16</v>
      </c>
      <c r="K1" s="1" t="s">
        <v>17</v>
      </c>
    </row>
    <row r="2" spans="1:11">
      <c r="A2">
        <v>2014</v>
      </c>
      <c r="B2" s="4">
        <v>412003</v>
      </c>
      <c r="C2" s="2">
        <v>4059.86</v>
      </c>
      <c r="D2" s="2">
        <v>1608030220.6500001</v>
      </c>
      <c r="E2" s="2">
        <v>1302413809.52</v>
      </c>
      <c r="F2" s="5">
        <f>$C$11/C2</f>
        <v>1.6683506327804407</v>
      </c>
      <c r="G2" s="2">
        <f>D2*F2</f>
        <v>2682758236.1514993</v>
      </c>
      <c r="H2" s="2">
        <f>E2*F2</f>
        <v>2172882903.2546763</v>
      </c>
      <c r="K2">
        <f>CORREL(G2:G11, H2:H11)</f>
        <v>0.82845211490438542</v>
      </c>
    </row>
    <row r="3" spans="1:11">
      <c r="A3">
        <v>2015</v>
      </c>
      <c r="B3" s="4">
        <v>412003</v>
      </c>
      <c r="C3" s="2">
        <v>4493.17</v>
      </c>
      <c r="D3" s="2">
        <v>1570000000</v>
      </c>
      <c r="E3" s="2">
        <v>1308832859.3499999</v>
      </c>
      <c r="F3" s="5">
        <f t="shared" ref="F3:F11" si="0">$C$11/C3</f>
        <v>1.5074590990325316</v>
      </c>
      <c r="G3" s="2">
        <f t="shared" ref="G3:G12" si="1">D3*F3</f>
        <v>2366710785.4810748</v>
      </c>
      <c r="H3" s="2">
        <f t="shared" ref="H3:H12" si="2">E3*F3</f>
        <v>1973012002.939923</v>
      </c>
    </row>
    <row r="4" spans="1:11">
      <c r="A4">
        <v>2016</v>
      </c>
      <c r="B4" s="4">
        <v>417307</v>
      </c>
      <c r="C4" s="2">
        <v>4775.7</v>
      </c>
      <c r="D4" s="2">
        <v>1780000000</v>
      </c>
      <c r="E4" s="2">
        <v>1393353773.3</v>
      </c>
      <c r="F4" s="5">
        <f t="shared" si="0"/>
        <v>1.4182779487823776</v>
      </c>
      <c r="G4" s="2">
        <f t="shared" si="1"/>
        <v>2524534748.8326321</v>
      </c>
      <c r="H4" s="2">
        <f t="shared" si="2"/>
        <v>1976162931.5241098</v>
      </c>
    </row>
    <row r="5" spans="1:11">
      <c r="A5">
        <v>2017</v>
      </c>
      <c r="B5" s="4">
        <v>422354</v>
      </c>
      <c r="C5" s="2">
        <v>4916.46</v>
      </c>
      <c r="D5" s="2">
        <v>1780000000</v>
      </c>
      <c r="E5" s="2">
        <v>1311537940.04</v>
      </c>
      <c r="F5" s="5">
        <f t="shared" si="0"/>
        <v>1.3776721462190276</v>
      </c>
      <c r="G5" s="2">
        <f t="shared" si="1"/>
        <v>2452256420.2698689</v>
      </c>
      <c r="H5" s="2">
        <f t="shared" si="2"/>
        <v>1806869288.702589</v>
      </c>
    </row>
    <row r="6" spans="1:11">
      <c r="A6">
        <v>2018</v>
      </c>
      <c r="B6" s="4">
        <v>422354</v>
      </c>
      <c r="C6" s="2">
        <v>5100.6099999999997</v>
      </c>
      <c r="D6" s="2">
        <v>1780000000</v>
      </c>
      <c r="E6" s="2">
        <v>1477402214.5</v>
      </c>
      <c r="F6" s="5">
        <f t="shared" si="0"/>
        <v>1.3279333256218375</v>
      </c>
      <c r="G6" s="2">
        <f t="shared" si="1"/>
        <v>2363721319.6068707</v>
      </c>
      <c r="H6" s="2">
        <f t="shared" si="2"/>
        <v>1961891635.9820523</v>
      </c>
    </row>
    <row r="7" spans="1:11">
      <c r="A7">
        <v>2019</v>
      </c>
      <c r="B7" s="4">
        <v>432575</v>
      </c>
      <c r="C7" s="2">
        <v>5320.25</v>
      </c>
      <c r="D7" s="2">
        <v>1990831542.55</v>
      </c>
      <c r="E7" s="2">
        <v>1579609741.8</v>
      </c>
      <c r="F7" s="5">
        <f t="shared" si="0"/>
        <v>1.2731112259762229</v>
      </c>
      <c r="G7" s="2">
        <f t="shared" si="1"/>
        <v>2534549985.8479657</v>
      </c>
      <c r="H7" s="2">
        <f t="shared" si="2"/>
        <v>2011018894.9469829</v>
      </c>
    </row>
    <row r="8" spans="1:11">
      <c r="A8">
        <v>2020</v>
      </c>
      <c r="B8" s="4">
        <v>439340</v>
      </c>
      <c r="C8" s="2">
        <v>5560.59</v>
      </c>
      <c r="D8" s="2">
        <v>2369478082.0999999</v>
      </c>
      <c r="E8" s="2">
        <v>1790222832.3699999</v>
      </c>
      <c r="F8" s="5">
        <f t="shared" si="0"/>
        <v>1.2180847715799943</v>
      </c>
      <c r="G8" s="2">
        <f t="shared" si="1"/>
        <v>2886225168.3985815</v>
      </c>
      <c r="H8" s="2">
        <f t="shared" si="2"/>
        <v>2180643169.8447018</v>
      </c>
    </row>
    <row r="9" spans="1:11">
      <c r="A9">
        <v>2021</v>
      </c>
      <c r="B9" s="4">
        <v>444784</v>
      </c>
      <c r="C9" s="2">
        <v>6120.04</v>
      </c>
      <c r="D9" s="2">
        <v>2669443140.79</v>
      </c>
      <c r="E9" s="2">
        <v>1943330452.02</v>
      </c>
      <c r="F9" s="5">
        <f t="shared" si="0"/>
        <v>1.1067362304821537</v>
      </c>
      <c r="G9" s="2">
        <f t="shared" si="1"/>
        <v>2954369439.1243658</v>
      </c>
      <c r="H9" s="2">
        <f t="shared" si="2"/>
        <v>2150754219.0497947</v>
      </c>
    </row>
    <row r="10" spans="1:11">
      <c r="A10">
        <v>2022</v>
      </c>
      <c r="B10" s="4">
        <v>450024</v>
      </c>
      <c r="C10" s="2">
        <v>6474.09</v>
      </c>
      <c r="D10" s="2">
        <v>2864681686.3499999</v>
      </c>
      <c r="E10" s="2">
        <v>2229978284.04</v>
      </c>
      <c r="F10" s="5">
        <f t="shared" si="0"/>
        <v>1.0462119000508181</v>
      </c>
      <c r="G10" s="2">
        <f t="shared" si="1"/>
        <v>2997064070.1170154</v>
      </c>
      <c r="H10" s="2">
        <f t="shared" si="2"/>
        <v>2333029817.6175513</v>
      </c>
    </row>
    <row r="11" spans="1:11">
      <c r="A11">
        <v>2023</v>
      </c>
      <c r="B11" s="4">
        <v>450024</v>
      </c>
      <c r="C11" s="2">
        <v>6773.27</v>
      </c>
      <c r="D11" s="2">
        <v>2952757996.2600002</v>
      </c>
      <c r="E11" s="2">
        <v>2563906912.4499998</v>
      </c>
      <c r="F11" s="5">
        <f t="shared" si="0"/>
        <v>1</v>
      </c>
      <c r="G11" s="2">
        <f t="shared" si="1"/>
        <v>2952757996.2600002</v>
      </c>
      <c r="H11" s="2">
        <f t="shared" si="2"/>
        <v>2563906912.4499998</v>
      </c>
    </row>
    <row r="12" spans="1:11">
      <c r="B12" s="4"/>
      <c r="C12" s="2"/>
      <c r="D12" s="2"/>
      <c r="G12" s="2"/>
      <c r="H12" s="2"/>
    </row>
    <row r="13" spans="1:11">
      <c r="B13" s="4"/>
      <c r="C13" s="2"/>
    </row>
    <row r="14" spans="1:11">
      <c r="B14" s="4"/>
      <c r="C14" s="2"/>
    </row>
    <row r="15" spans="1:11">
      <c r="B15" s="4"/>
      <c r="C15" s="2"/>
    </row>
    <row r="16" spans="1:11">
      <c r="B16" s="4"/>
      <c r="C16" s="2"/>
    </row>
    <row r="17" spans="2:3">
      <c r="B17" s="4"/>
      <c r="C17" s="2"/>
    </row>
    <row r="18" spans="2:3">
      <c r="B18" s="4"/>
      <c r="C18" s="2"/>
    </row>
    <row r="19" spans="2:3">
      <c r="C19" s="2"/>
    </row>
    <row r="20" spans="2:3">
      <c r="C20" s="2"/>
    </row>
    <row r="21" spans="2:3">
      <c r="C21" s="2"/>
    </row>
    <row r="22" spans="2:3">
      <c r="C2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6FA1-E67E-43E5-9274-07EE57CC8201}">
  <dimension ref="A1:H22"/>
  <sheetViews>
    <sheetView workbookViewId="0">
      <selection activeCell="J4" sqref="J4"/>
    </sheetView>
  </sheetViews>
  <sheetFormatPr defaultRowHeight="15"/>
  <cols>
    <col min="1" max="1" width="5.42578125" bestFit="1" customWidth="1"/>
    <col min="2" max="2" width="10.42578125" bestFit="1" customWidth="1"/>
    <col min="3" max="3" width="8.7109375" bestFit="1" customWidth="1"/>
    <col min="4" max="4" width="25.28515625" bestFit="1" customWidth="1"/>
    <col min="5" max="5" width="26.28515625" bestFit="1" customWidth="1"/>
    <col min="6" max="6" width="16.85546875" bestFit="1" customWidth="1"/>
    <col min="7" max="7" width="21.7109375" bestFit="1" customWidth="1"/>
    <col min="8" max="8" width="22.42578125" bestFit="1" customWidth="1"/>
  </cols>
  <sheetData>
    <row r="1" spans="1:8">
      <c r="A1" s="3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5</v>
      </c>
      <c r="G1" s="1" t="s">
        <v>15</v>
      </c>
      <c r="H1" s="1" t="s">
        <v>16</v>
      </c>
    </row>
    <row r="2" spans="1:8">
      <c r="A2">
        <v>2014</v>
      </c>
      <c r="B2" s="4">
        <v>276995</v>
      </c>
      <c r="C2" s="2">
        <v>4059.86</v>
      </c>
      <c r="D2" s="2">
        <v>710327301.38999999</v>
      </c>
      <c r="E2" s="2">
        <v>671828796.32000005</v>
      </c>
      <c r="F2" s="5">
        <f>$C$11/C2</f>
        <v>1.6683506327804407</v>
      </c>
      <c r="G2" s="2">
        <f>D2*F2</f>
        <v>1185075002.7552292</v>
      </c>
      <c r="H2" s="2">
        <f>E2*F2</f>
        <v>1120845997.4605939</v>
      </c>
    </row>
    <row r="3" spans="1:8">
      <c r="A3">
        <v>2015</v>
      </c>
      <c r="B3" s="4">
        <v>276995</v>
      </c>
      <c r="C3" s="2">
        <v>4493.17</v>
      </c>
      <c r="D3" s="2">
        <v>743000000</v>
      </c>
      <c r="E3" s="2">
        <v>727007000.19000006</v>
      </c>
      <c r="F3" s="5">
        <f t="shared" ref="F3:F11" si="0">$C$11/C3</f>
        <v>1.5074590990325316</v>
      </c>
      <c r="G3" s="2">
        <f t="shared" ref="G3:G11" si="1">D3*F3</f>
        <v>1120042110.581171</v>
      </c>
      <c r="H3" s="2">
        <f t="shared" ref="H3:H11" si="2">E3*F3</f>
        <v>1095933317.4967611</v>
      </c>
    </row>
    <row r="4" spans="1:8">
      <c r="A4">
        <v>2016</v>
      </c>
      <c r="B4" s="4">
        <v>278363</v>
      </c>
      <c r="C4" s="2">
        <v>4775.7</v>
      </c>
      <c r="D4" s="2">
        <v>772000000</v>
      </c>
      <c r="E4" s="2">
        <v>732963068.20000005</v>
      </c>
      <c r="F4" s="5">
        <f t="shared" si="0"/>
        <v>1.4182779487823776</v>
      </c>
      <c r="G4" s="2">
        <f t="shared" si="1"/>
        <v>1094910576.4599955</v>
      </c>
      <c r="H4" s="2">
        <f t="shared" si="2"/>
        <v>1039545356.8999339</v>
      </c>
    </row>
    <row r="5" spans="1:8">
      <c r="A5">
        <v>2017</v>
      </c>
      <c r="B5" s="4">
        <v>279665</v>
      </c>
      <c r="C5" s="2">
        <v>4916.46</v>
      </c>
      <c r="D5" s="2">
        <v>814000000</v>
      </c>
      <c r="E5" s="2">
        <v>759413034.67999995</v>
      </c>
      <c r="F5" s="5">
        <f t="shared" si="0"/>
        <v>1.3776721462190276</v>
      </c>
      <c r="G5" s="2">
        <f t="shared" si="1"/>
        <v>1121425127.0222883</v>
      </c>
      <c r="H5" s="2">
        <f t="shared" si="2"/>
        <v>1046222185.3543004</v>
      </c>
    </row>
    <row r="6" spans="1:8">
      <c r="A6">
        <v>2018</v>
      </c>
      <c r="B6" s="4">
        <v>279665</v>
      </c>
      <c r="C6" s="2">
        <v>5100.6099999999997</v>
      </c>
      <c r="D6" s="2">
        <v>824000000</v>
      </c>
      <c r="E6" s="2">
        <v>838267941.97000003</v>
      </c>
      <c r="F6" s="5">
        <f t="shared" si="0"/>
        <v>1.3279333256218375</v>
      </c>
      <c r="G6" s="2">
        <f t="shared" si="1"/>
        <v>1094217060.3123941</v>
      </c>
      <c r="H6" s="2">
        <f t="shared" si="2"/>
        <v>1113163935.9423957</v>
      </c>
    </row>
    <row r="7" spans="1:8">
      <c r="A7">
        <v>2019</v>
      </c>
      <c r="B7" s="4">
        <v>278685</v>
      </c>
      <c r="C7" s="2">
        <v>5320.25</v>
      </c>
      <c r="D7" s="2">
        <v>931296028.39999998</v>
      </c>
      <c r="E7" s="2">
        <v>931177855.74000001</v>
      </c>
      <c r="F7" s="5">
        <f t="shared" si="0"/>
        <v>1.2731112259762229</v>
      </c>
      <c r="G7" s="2">
        <f t="shared" si="1"/>
        <v>1185643428.4631114</v>
      </c>
      <c r="H7" s="2">
        <f t="shared" si="2"/>
        <v>1185492981.523062</v>
      </c>
    </row>
    <row r="8" spans="1:8">
      <c r="A8">
        <v>2020</v>
      </c>
      <c r="B8" s="4">
        <v>279885</v>
      </c>
      <c r="C8" s="2">
        <v>5560.59</v>
      </c>
      <c r="D8" s="2">
        <v>1108011257.28</v>
      </c>
      <c r="E8" s="2">
        <v>1037491950.46</v>
      </c>
      <c r="F8" s="5">
        <f t="shared" si="0"/>
        <v>1.2180847715799943</v>
      </c>
      <c r="G8" s="2">
        <f t="shared" si="1"/>
        <v>1349651639.231971</v>
      </c>
      <c r="H8" s="2">
        <f t="shared" si="2"/>
        <v>1263753145.492152</v>
      </c>
    </row>
    <row r="9" spans="1:8">
      <c r="A9">
        <v>2021</v>
      </c>
      <c r="B9" s="4">
        <v>281046</v>
      </c>
      <c r="C9" s="2">
        <v>6120.04</v>
      </c>
      <c r="D9" s="2">
        <v>1251484593.0799999</v>
      </c>
      <c r="E9" s="2">
        <v>1153807933.22</v>
      </c>
      <c r="F9" s="5">
        <f t="shared" si="0"/>
        <v>1.1067362304821537</v>
      </c>
      <c r="G9" s="2">
        <f t="shared" si="1"/>
        <v>1385063341.0518513</v>
      </c>
      <c r="H9" s="2">
        <f t="shared" si="2"/>
        <v>1276961042.7123075</v>
      </c>
    </row>
    <row r="10" spans="1:8">
      <c r="A10">
        <v>2022</v>
      </c>
      <c r="B10" s="4">
        <v>282164</v>
      </c>
      <c r="C10" s="2">
        <v>6474.09</v>
      </c>
      <c r="D10" s="2">
        <v>1436931777.8699999</v>
      </c>
      <c r="E10" s="2">
        <v>1453351432.3800001</v>
      </c>
      <c r="F10" s="5">
        <f t="shared" si="0"/>
        <v>1.0462119000508181</v>
      </c>
      <c r="G10" s="2">
        <f t="shared" si="1"/>
        <v>1503335125.5687728</v>
      </c>
      <c r="H10" s="2">
        <f t="shared" si="2"/>
        <v>1520513563.511858</v>
      </c>
    </row>
    <row r="11" spans="1:8">
      <c r="A11">
        <v>2023</v>
      </c>
      <c r="B11" s="4">
        <v>282164</v>
      </c>
      <c r="C11" s="2">
        <v>6773.27</v>
      </c>
      <c r="D11" s="2">
        <v>1547441182.0999999</v>
      </c>
      <c r="E11" s="2">
        <v>1612163303.28</v>
      </c>
      <c r="F11" s="5">
        <f t="shared" si="0"/>
        <v>1</v>
      </c>
      <c r="G11" s="2">
        <f t="shared" si="1"/>
        <v>1547441182.0999999</v>
      </c>
      <c r="H11" s="2">
        <f t="shared" si="2"/>
        <v>1612163303.28</v>
      </c>
    </row>
    <row r="12" spans="1:8">
      <c r="B12" s="4"/>
      <c r="C12" s="2"/>
      <c r="D12" s="2"/>
      <c r="G12" s="2"/>
      <c r="H12" s="2"/>
    </row>
    <row r="13" spans="1:8">
      <c r="B13" s="4"/>
      <c r="C13" s="2"/>
    </row>
    <row r="14" spans="1:8">
      <c r="B14" s="4"/>
      <c r="C14" s="2"/>
    </row>
    <row r="15" spans="1:8">
      <c r="B15" s="4"/>
      <c r="C15" s="2"/>
    </row>
    <row r="16" spans="1:8">
      <c r="B16" s="4"/>
      <c r="C16" s="2"/>
    </row>
    <row r="17" spans="2:3">
      <c r="B17" s="4"/>
      <c r="C17" s="2"/>
    </row>
    <row r="18" spans="2:3">
      <c r="B18" s="4"/>
      <c r="C18" s="2"/>
    </row>
    <row r="19" spans="2:3">
      <c r="C19" s="2"/>
    </row>
    <row r="20" spans="2:3">
      <c r="C20" s="2"/>
    </row>
    <row r="21" spans="2:3">
      <c r="C21" s="2"/>
    </row>
    <row r="22" spans="2:3">
      <c r="C2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2026-05-02T22:04:38Z</dcterms:created>
  <dcterms:modified xsi:type="dcterms:W3CDTF">2026-05-04T01:36:42Z</dcterms:modified>
  <cp:category/>
  <cp:contentStatus/>
</cp:coreProperties>
</file>